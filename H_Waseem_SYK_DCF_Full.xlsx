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d.docs.live.net/1c3918ed1592fe34/Documents/College Things/Spring 2026/BUS341W/HWs/Research Project/"/>
    </mc:Choice>
  </mc:AlternateContent>
  <xr:revisionPtr revIDLastSave="147" documentId="6_{B8FB0418-94B0-4257-AD72-DBB0F387EAB4}" xr6:coauthVersionLast="47" xr6:coauthVersionMax="47" xr10:uidLastSave="{93858A4F-2AEB-482E-B2D7-6B310AC85E01}"/>
  <bookViews>
    <workbookView xWindow="-120" yWindow="-120" windowWidth="29040" windowHeight="15720" tabRatio="940" activeTab="7" xr2:uid="{00000000-000D-0000-FFFF-FFFF00000000}"/>
  </bookViews>
  <sheets>
    <sheet name="Cover Page" sheetId="25" r:id="rId1"/>
    <sheet name="DCF Dashboard" sheetId="23" r:id="rId2"/>
    <sheet name="DCF PivotTable" sheetId="26" r:id="rId3"/>
    <sheet name="Master Data" sheetId="15" r:id="rId4"/>
    <sheet name="Summary Statistics" sheetId="28" r:id="rId5"/>
    <sheet name="WACC Dashboard" sheetId="7" r:id="rId6"/>
    <sheet name="WACC PivotTable" sheetId="24" r:id="rId7"/>
    <sheet name="Beta Hand Calculations" sheetId="8" r:id="rId8"/>
    <sheet name="SYK" sheetId="2" r:id="rId9"/>
    <sheet name="BBG Adj Highlights" sheetId="16" r:id="rId10"/>
    <sheet name="BBG Adjusted" sheetId="17" r:id="rId11"/>
    <sheet name="BS" sheetId="18" r:id="rId12"/>
    <sheet name="CF" sheetId="19" r:id="rId13"/>
    <sheet name="Profitability" sheetId="20" r:id="rId14"/>
    <sheet name="Segments" sheetId="21" r:id="rId15"/>
    <sheet name="JNJ" sheetId="3" r:id="rId16"/>
    <sheet name="ABBOTT" sheetId="4" r:id="rId17"/>
    <sheet name="BSX" sheetId="5" r:id="rId18"/>
    <sheet name="EDW" sheetId="6" r:id="rId19"/>
  </sheets>
  <definedNames>
    <definedName name="_xlnm._FilterDatabase" localSheetId="4" hidden="1">'Summary Statistics'!$A$1:$P$10</definedName>
    <definedName name="_xlchart.v1.0" hidden="1">'Beta Hand Calculations'!$M$1</definedName>
    <definedName name="_xlchart.v1.1" hidden="1">'Beta Hand Calculations'!$M$2:$M$63</definedName>
    <definedName name="_xlchart.v1.2" hidden="1">'Beta Hand Calculations'!$C$1</definedName>
    <definedName name="_xlchart.v1.3" hidden="1">'Beta Hand Calculations'!$C$2:$C$63</definedName>
    <definedName name="_xlcn.WorksheetConnection_H_Waseem_SYK_DCF_Full.xlsxTable61" hidden="1">Table6[]</definedName>
    <definedName name="_xlcn.WorksheetConnection_MasterDataA13R261" hidden="1">'Master Data'!$A$13:$R$26</definedName>
    <definedName name="_xlnm.Criteria" localSheetId="4">'Summary Statistics'!$S$1:$AA$1</definedName>
    <definedName name="_xlnm.Extract" localSheetId="4">'Summary Statistics'!$S$1:$AA$1</definedName>
    <definedName name="ProjFCFs">'Master Data'!$K$21:$K$26</definedName>
    <definedName name="Slicer_Year">#N/A</definedName>
    <definedName name="solver_adj" localSheetId="4" hidden="1">'Summary Statistics'!$K$30</definedName>
    <definedName name="solver_cvg" localSheetId="4" hidden="1">0.0001</definedName>
    <definedName name="solver_drv" localSheetId="4" hidden="1">2</definedName>
    <definedName name="solver_eng" localSheetId="4" hidden="1">1</definedName>
    <definedName name="solver_est" localSheetId="4" hidden="1">1</definedName>
    <definedName name="solver_itr" localSheetId="4" hidden="1">2147483647</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0</definedName>
    <definedName name="solver_nwt" localSheetId="4" hidden="1">1</definedName>
    <definedName name="solver_opt" localSheetId="4" hidden="1">'Summary Statistics'!$J$30</definedName>
    <definedName name="solver_pre" localSheetId="4" hidden="1">0.000001</definedName>
    <definedName name="solver_rbv" localSheetId="4" hidden="1">2</definedName>
    <definedName name="solver_rlx" localSheetId="4" hidden="1">2</definedName>
    <definedName name="solver_rsd" localSheetId="4" hidden="1">0</definedName>
    <definedName name="solver_scl" localSheetId="4" hidden="1">2</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3</definedName>
    <definedName name="solver_val" localSheetId="4" hidden="1">20498</definedName>
    <definedName name="solver_ver" localSheetId="4" hidden="1">3</definedName>
    <definedName name="t">'Master Data'!$S$21:$S$26</definedName>
  </definedNames>
  <calcPr calcId="191029"/>
  <pivotCaches>
    <pivotCache cacheId="0" r:id="rId20"/>
    <pivotCache cacheId="1" r:id="rId21"/>
    <pivotCache cacheId="2"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aster Data!$A$13:$R$26"/>
          <x15:modelTable id="Table6" name="Table6" connection="WorksheetConnection_H_Waseem_SYK_DCF_Full.xlsx!Table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B2" i="8" a="1"/>
  <c r="D2" i="8" a="1"/>
  <c r="F2" i="8" a="1"/>
  <c r="H2" i="8" a="1"/>
  <c r="J2" i="8" a="1"/>
  <c r="K47" i="8" l="1"/>
  <c r="K13" i="8"/>
  <c r="K53" i="8"/>
  <c r="K56" i="8"/>
  <c r="K6" i="8"/>
  <c r="K14" i="8"/>
  <c r="K22" i="8"/>
  <c r="K30" i="8"/>
  <c r="K38" i="8"/>
  <c r="K46" i="8"/>
  <c r="K54" i="8"/>
  <c r="K62" i="8"/>
  <c r="K61" i="8"/>
  <c r="K8" i="8"/>
  <c r="K19" i="8"/>
  <c r="K55" i="8"/>
  <c r="K24" i="8"/>
  <c r="K9" i="8"/>
  <c r="K17" i="8"/>
  <c r="K25" i="8"/>
  <c r="K33" i="8"/>
  <c r="K41" i="8"/>
  <c r="K49" i="8"/>
  <c r="K57" i="8"/>
  <c r="K39" i="8"/>
  <c r="K26" i="8"/>
  <c r="K58" i="8"/>
  <c r="K16" i="8"/>
  <c r="K40" i="8"/>
  <c r="K4" i="8"/>
  <c r="K12" i="8"/>
  <c r="K20" i="8"/>
  <c r="K28" i="8"/>
  <c r="K36" i="8"/>
  <c r="K44" i="8"/>
  <c r="K52" i="8"/>
  <c r="K60" i="8"/>
  <c r="K50" i="8"/>
  <c r="K29" i="8"/>
  <c r="K43" i="8"/>
  <c r="K63" i="8"/>
  <c r="K34" i="8"/>
  <c r="K45" i="8"/>
  <c r="K7" i="8"/>
  <c r="K15" i="8"/>
  <c r="K23" i="8"/>
  <c r="K31" i="8"/>
  <c r="J2" i="8"/>
  <c r="K2" i="8" s="1"/>
  <c r="K5" i="8"/>
  <c r="K37" i="8"/>
  <c r="K35" i="8"/>
  <c r="K10" i="8"/>
  <c r="K18" i="8"/>
  <c r="K42" i="8"/>
  <c r="K21" i="8"/>
  <c r="K48" i="8"/>
  <c r="K32" i="8"/>
  <c r="K59" i="8"/>
  <c r="K3" i="8"/>
  <c r="K11" i="8"/>
  <c r="K27" i="8"/>
  <c r="K51" i="8"/>
  <c r="I6" i="8"/>
  <c r="I14" i="8"/>
  <c r="I22" i="8"/>
  <c r="I30" i="8"/>
  <c r="I38" i="8"/>
  <c r="I46" i="8"/>
  <c r="I54" i="8"/>
  <c r="I62" i="8"/>
  <c r="I52" i="8"/>
  <c r="I47" i="8"/>
  <c r="I63" i="8"/>
  <c r="I41" i="8"/>
  <c r="I31" i="8"/>
  <c r="I61" i="8"/>
  <c r="I43" i="8"/>
  <c r="I9" i="8"/>
  <c r="I17" i="8"/>
  <c r="I25" i="8"/>
  <c r="I33" i="8"/>
  <c r="I49" i="8"/>
  <c r="I57" i="8"/>
  <c r="I60" i="8"/>
  <c r="I23" i="8"/>
  <c r="I42" i="8"/>
  <c r="I37" i="8"/>
  <c r="I36" i="8"/>
  <c r="I39" i="8"/>
  <c r="I34" i="8"/>
  <c r="I58" i="8"/>
  <c r="I59" i="8"/>
  <c r="I4" i="8"/>
  <c r="I12" i="8"/>
  <c r="I20" i="8"/>
  <c r="I28" i="8"/>
  <c r="I44" i="8"/>
  <c r="I50" i="8"/>
  <c r="I53" i="8"/>
  <c r="I24" i="8"/>
  <c r="I35" i="8"/>
  <c r="I55" i="8"/>
  <c r="I13" i="8"/>
  <c r="H2" i="8"/>
  <c r="I7" i="8"/>
  <c r="I15" i="8"/>
  <c r="I2" i="8"/>
  <c r="I29" i="8"/>
  <c r="I10" i="8"/>
  <c r="I18" i="8"/>
  <c r="I26" i="8"/>
  <c r="I45" i="8"/>
  <c r="I56" i="8"/>
  <c r="I21" i="8"/>
  <c r="I16" i="8"/>
  <c r="I32" i="8"/>
  <c r="I27" i="8"/>
  <c r="I5" i="8"/>
  <c r="I8" i="8"/>
  <c r="I48" i="8"/>
  <c r="I51" i="8"/>
  <c r="I40" i="8"/>
  <c r="I3" i="8"/>
  <c r="I11" i="8"/>
  <c r="I19" i="8"/>
  <c r="G58" i="8"/>
  <c r="G32" i="8"/>
  <c r="G27" i="8"/>
  <c r="G38" i="8"/>
  <c r="G9" i="8"/>
  <c r="G17" i="8"/>
  <c r="G25" i="8"/>
  <c r="G33" i="8"/>
  <c r="G41" i="8"/>
  <c r="G49" i="8"/>
  <c r="G57" i="8"/>
  <c r="G34" i="8"/>
  <c r="G50" i="8"/>
  <c r="G35" i="8"/>
  <c r="G24" i="8"/>
  <c r="G48" i="8"/>
  <c r="G51" i="8"/>
  <c r="G62" i="8"/>
  <c r="G4" i="8"/>
  <c r="G12" i="8"/>
  <c r="G20" i="8"/>
  <c r="G28" i="8"/>
  <c r="G36" i="8"/>
  <c r="G44" i="8"/>
  <c r="G52" i="8"/>
  <c r="G60" i="8"/>
  <c r="G45" i="8"/>
  <c r="G8" i="8"/>
  <c r="G40" i="8"/>
  <c r="F2" i="8"/>
  <c r="G30" i="8"/>
  <c r="G2" i="8"/>
  <c r="G7" i="8"/>
  <c r="G15" i="8"/>
  <c r="G23" i="8"/>
  <c r="G31" i="8"/>
  <c r="G39" i="8"/>
  <c r="G47" i="8"/>
  <c r="G55" i="8"/>
  <c r="G63" i="8"/>
  <c r="G19" i="8"/>
  <c r="G42" i="8"/>
  <c r="G3" i="8"/>
  <c r="G59" i="8"/>
  <c r="G54" i="8"/>
  <c r="G10" i="8"/>
  <c r="G18" i="8"/>
  <c r="G26" i="8"/>
  <c r="G29" i="8"/>
  <c r="G61" i="8"/>
  <c r="G16" i="8"/>
  <c r="G37" i="8"/>
  <c r="G43" i="8"/>
  <c r="G5" i="8"/>
  <c r="G13" i="8"/>
  <c r="G21" i="8"/>
  <c r="G53" i="8"/>
  <c r="G46" i="8"/>
  <c r="G56" i="8"/>
  <c r="G11" i="8"/>
  <c r="G22" i="8"/>
  <c r="G6" i="8"/>
  <c r="G14" i="8"/>
  <c r="E9" i="8"/>
  <c r="E17" i="8"/>
  <c r="E25" i="8"/>
  <c r="E33" i="8"/>
  <c r="E41" i="8"/>
  <c r="E49" i="8"/>
  <c r="E57" i="8"/>
  <c r="E60" i="8"/>
  <c r="E26" i="8"/>
  <c r="E37" i="8"/>
  <c r="E61" i="8"/>
  <c r="E8" i="8"/>
  <c r="E50" i="8"/>
  <c r="E27" i="8"/>
  <c r="E51" i="8"/>
  <c r="D2" i="8"/>
  <c r="E2" i="8" s="1"/>
  <c r="E4" i="8"/>
  <c r="E12" i="8"/>
  <c r="E20" i="8"/>
  <c r="E28" i="8"/>
  <c r="E36" i="8"/>
  <c r="E44" i="8"/>
  <c r="E52" i="8"/>
  <c r="E55" i="8"/>
  <c r="E24" i="8"/>
  <c r="E59" i="8"/>
  <c r="E31" i="8"/>
  <c r="E16" i="8"/>
  <c r="E40" i="8"/>
  <c r="E19" i="8"/>
  <c r="E43" i="8"/>
  <c r="E7" i="8"/>
  <c r="E15" i="8"/>
  <c r="E23" i="8"/>
  <c r="E39" i="8"/>
  <c r="E47" i="8"/>
  <c r="E63" i="8"/>
  <c r="E58" i="8"/>
  <c r="E34" i="8"/>
  <c r="E42" i="8"/>
  <c r="E53" i="8"/>
  <c r="E3" i="8"/>
  <c r="E10" i="8"/>
  <c r="E18" i="8"/>
  <c r="E48" i="8"/>
  <c r="E11" i="8"/>
  <c r="E35" i="8"/>
  <c r="E46" i="8"/>
  <c r="E45" i="8"/>
  <c r="E56" i="8"/>
  <c r="E22" i="8"/>
  <c r="E5" i="8"/>
  <c r="E13" i="8"/>
  <c r="E21" i="8"/>
  <c r="E29" i="8"/>
  <c r="E38" i="8"/>
  <c r="E62" i="8"/>
  <c r="E32" i="8"/>
  <c r="E6" i="8"/>
  <c r="E14" i="8"/>
  <c r="E30" i="8"/>
  <c r="E54" i="8"/>
  <c r="B2" i="8"/>
  <c r="C2" i="8" s="1"/>
  <c r="C40" i="8"/>
  <c r="C56" i="8"/>
  <c r="C38" i="8"/>
  <c r="C4" i="8"/>
  <c r="C12" i="8"/>
  <c r="C20" i="8"/>
  <c r="C28" i="8"/>
  <c r="C36" i="8"/>
  <c r="C44" i="8"/>
  <c r="C52" i="8"/>
  <c r="C60" i="8"/>
  <c r="C48" i="8"/>
  <c r="C27" i="8"/>
  <c r="C32" i="8"/>
  <c r="C41" i="8"/>
  <c r="C7" i="8"/>
  <c r="C15" i="8"/>
  <c r="C23" i="8"/>
  <c r="C31" i="8"/>
  <c r="C39" i="8"/>
  <c r="C47" i="8"/>
  <c r="C55" i="8"/>
  <c r="C63" i="8"/>
  <c r="C6" i="8"/>
  <c r="C54" i="8"/>
  <c r="C17" i="8"/>
  <c r="C61" i="8"/>
  <c r="C3" i="8"/>
  <c r="C43" i="8"/>
  <c r="C10" i="8"/>
  <c r="C18" i="8"/>
  <c r="C26" i="8"/>
  <c r="C34" i="8"/>
  <c r="C42" i="8"/>
  <c r="C50" i="8"/>
  <c r="C58" i="8"/>
  <c r="C37" i="8"/>
  <c r="C53" i="8"/>
  <c r="C11" i="8"/>
  <c r="C46" i="8"/>
  <c r="C19" i="8"/>
  <c r="C30" i="8"/>
  <c r="C25" i="8"/>
  <c r="C5" i="8"/>
  <c r="C13" i="8"/>
  <c r="C21" i="8"/>
  <c r="C29" i="8"/>
  <c r="C45" i="8"/>
  <c r="C51" i="8"/>
  <c r="C49" i="8"/>
  <c r="C14" i="8"/>
  <c r="C8" i="8"/>
  <c r="C16" i="8"/>
  <c r="C24" i="8"/>
  <c r="C35" i="8"/>
  <c r="C59" i="8"/>
  <c r="C22" i="8"/>
  <c r="C62" i="8"/>
  <c r="C57" i="8"/>
  <c r="C33" i="8"/>
  <c r="C9" i="8"/>
  <c r="T23" i="28"/>
  <c r="T22" i="28"/>
  <c r="T21" i="28"/>
  <c r="T19" i="28"/>
  <c r="T16" i="28"/>
  <c r="T18" i="28"/>
  <c r="T17" i="28"/>
  <c r="T15" i="28"/>
  <c r="F31" i="28"/>
  <c r="E31" i="28" a="1"/>
  <c r="E31" i="28" s="1"/>
  <c r="B21" i="15" l="1"/>
  <c r="B28" i="28"/>
  <c r="O10" i="28"/>
  <c r="N10" i="28"/>
  <c r="M10" i="28"/>
  <c r="L10" i="28"/>
  <c r="K10" i="28"/>
  <c r="J10" i="28"/>
  <c r="I10" i="28"/>
  <c r="H10" i="28"/>
  <c r="G10" i="28"/>
  <c r="F10" i="28"/>
  <c r="E10" i="28"/>
  <c r="D10" i="28"/>
  <c r="C10" i="28"/>
  <c r="B10" i="28"/>
  <c r="O9" i="28"/>
  <c r="N9" i="28"/>
  <c r="M9" i="28"/>
  <c r="L9" i="28"/>
  <c r="K9" i="28"/>
  <c r="J9" i="28"/>
  <c r="I9" i="28"/>
  <c r="H9" i="28"/>
  <c r="G9" i="28"/>
  <c r="F9" i="28"/>
  <c r="E9" i="28"/>
  <c r="D9" i="28"/>
  <c r="C9" i="28"/>
  <c r="B9" i="28"/>
  <c r="J30" i="28" s="1"/>
  <c r="P8" i="28"/>
  <c r="L8" i="28"/>
  <c r="P7" i="28"/>
  <c r="L7" i="28"/>
  <c r="P6" i="28"/>
  <c r="L6" i="28"/>
  <c r="P5" i="28"/>
  <c r="L5" i="28"/>
  <c r="P4" i="28"/>
  <c r="L4" i="28"/>
  <c r="P3" i="28"/>
  <c r="L3" i="28"/>
  <c r="N2" i="28"/>
  <c r="O2" i="28" s="1"/>
  <c r="M2" i="28"/>
  <c r="L2" i="28"/>
  <c r="K2" i="28"/>
  <c r="K13" i="28" s="1"/>
  <c r="J2" i="28"/>
  <c r="I2" i="28"/>
  <c r="H2" i="28"/>
  <c r="G2" i="28"/>
  <c r="F2" i="28"/>
  <c r="E2" i="28"/>
  <c r="D2" i="28"/>
  <c r="C2" i="28"/>
  <c r="B2" i="28"/>
  <c r="H1" i="23"/>
  <c r="G1" i="23"/>
  <c r="Q3" i="15"/>
  <c r="Q4" i="15"/>
  <c r="Q5" i="15"/>
  <c r="Q6" i="15"/>
  <c r="Q7" i="15"/>
  <c r="Q8" i="15"/>
  <c r="Q9" i="15"/>
  <c r="Q10" i="15"/>
  <c r="Q2" i="15"/>
  <c r="L2" i="23"/>
  <c r="K3" i="23" a="1"/>
  <c r="K3" i="23" s="1"/>
  <c r="E7" i="25"/>
  <c r="E14" i="25"/>
  <c r="E11" i="25"/>
  <c r="E12" i="25"/>
  <c r="E13" i="25"/>
  <c r="E9" i="25"/>
  <c r="E8" i="25"/>
  <c r="E5" i="25"/>
  <c r="E6" i="25"/>
  <c r="C17" i="23"/>
  <c r="C11" i="23"/>
  <c r="C7" i="23"/>
  <c r="M3" i="15"/>
  <c r="M4" i="15"/>
  <c r="M5" i="15"/>
  <c r="M6" i="15"/>
  <c r="M7" i="15"/>
  <c r="M8" i="15"/>
  <c r="M9" i="15"/>
  <c r="C3" i="23" s="1"/>
  <c r="M10" i="15"/>
  <c r="M2" i="15"/>
  <c r="P15" i="15"/>
  <c r="R15" i="15" s="1"/>
  <c r="P16" i="15"/>
  <c r="Q16" i="15" s="1"/>
  <c r="P17" i="15"/>
  <c r="Q17" i="15" s="1"/>
  <c r="P18" i="15"/>
  <c r="Q18" i="15" s="1"/>
  <c r="P19" i="15"/>
  <c r="P20" i="15"/>
  <c r="Q20" i="15" s="1"/>
  <c r="P14" i="15"/>
  <c r="Q14" i="15" s="1"/>
  <c r="O15" i="15"/>
  <c r="O16" i="15"/>
  <c r="O17" i="15"/>
  <c r="O18" i="15"/>
  <c r="O19" i="15"/>
  <c r="O20" i="15"/>
  <c r="O14" i="15"/>
  <c r="G14" i="15"/>
  <c r="G9" i="15"/>
  <c r="G10" i="15"/>
  <c r="G2" i="15"/>
  <c r="F21" i="15" a="1"/>
  <c r="F21" i="15" s="1"/>
  <c r="F22" i="15" s="1" a="1"/>
  <c r="F22" i="15" s="1"/>
  <c r="N15" i="15"/>
  <c r="N14" i="15"/>
  <c r="N9" i="15"/>
  <c r="N10" i="15"/>
  <c r="N2" i="15"/>
  <c r="K40" i="15"/>
  <c r="E3" i="23"/>
  <c r="B3" i="23"/>
  <c r="D3" i="23"/>
  <c r="O9" i="15"/>
  <c r="O10" i="15"/>
  <c r="P10" i="15"/>
  <c r="P9" i="15"/>
  <c r="O2" i="15"/>
  <c r="P2" i="15" s="1"/>
  <c r="L9" i="15"/>
  <c r="L10" i="15"/>
  <c r="L2" i="15"/>
  <c r="K9" i="15"/>
  <c r="K10" i="15"/>
  <c r="K2" i="15"/>
  <c r="J10" i="15"/>
  <c r="J9" i="15"/>
  <c r="J2" i="15"/>
  <c r="I9" i="15"/>
  <c r="I10" i="15"/>
  <c r="I2" i="15"/>
  <c r="F9" i="15"/>
  <c r="F10" i="15"/>
  <c r="F2" i="15"/>
  <c r="E9" i="15"/>
  <c r="E10" i="15"/>
  <c r="E2" i="15"/>
  <c r="D9" i="15"/>
  <c r="D10" i="15"/>
  <c r="D2" i="15"/>
  <c r="E4" i="21" a="1"/>
  <c r="E4" i="21" s="1"/>
  <c r="F4" i="21" a="1"/>
  <c r="F4" i="21" s="1"/>
  <c r="G4" i="21" a="1"/>
  <c r="G4" i="21" s="1"/>
  <c r="H4" i="21" a="1"/>
  <c r="H4" i="21" s="1"/>
  <c r="I4" i="21" a="1"/>
  <c r="I4" i="21" s="1"/>
  <c r="J4" i="21" a="1"/>
  <c r="J4" i="21" s="1"/>
  <c r="K4" i="21" a="1"/>
  <c r="K4" i="21" s="1"/>
  <c r="L4" i="21" a="1"/>
  <c r="L4" i="21" s="1"/>
  <c r="M4" i="21" a="1"/>
  <c r="M4" i="21" s="1"/>
  <c r="N4" i="21" a="1"/>
  <c r="N4" i="21" s="1"/>
  <c r="B2" i="15"/>
  <c r="C2" i="15"/>
  <c r="B9" i="15"/>
  <c r="C9" i="15"/>
  <c r="B10" i="15"/>
  <c r="C10" i="15"/>
  <c r="G11" i="23" a="1"/>
  <c r="G7" i="23" a="1"/>
  <c r="G3" i="23" a="1"/>
  <c r="B13" i="7" a="1"/>
  <c r="G11" i="23" l="1"/>
  <c r="G7" i="23"/>
  <c r="G3" i="23"/>
  <c r="M13" i="28"/>
  <c r="B31" i="28"/>
  <c r="C31" i="28"/>
  <c r="D31" i="28"/>
  <c r="I13" i="28"/>
  <c r="P2" i="28"/>
  <c r="G13" i="28"/>
  <c r="L13" i="28"/>
  <c r="O13" i="28"/>
  <c r="G16" i="28"/>
  <c r="D19" i="28"/>
  <c r="F16" i="28"/>
  <c r="H13" i="28"/>
  <c r="C25" i="28"/>
  <c r="D22" i="28"/>
  <c r="E22" i="28"/>
  <c r="E16" i="28"/>
  <c r="F19" i="28"/>
  <c r="G19" i="28"/>
  <c r="M25" i="28"/>
  <c r="B13" i="28"/>
  <c r="H16" i="28"/>
  <c r="I16" i="28"/>
  <c r="C19" i="28"/>
  <c r="J13" i="28"/>
  <c r="C22" i="28"/>
  <c r="E19" i="28"/>
  <c r="B25" i="28"/>
  <c r="F13" i="28"/>
  <c r="D16" i="28"/>
  <c r="B22" i="28"/>
  <c r="O25" i="28"/>
  <c r="E13" i="28"/>
  <c r="C16" i="28"/>
  <c r="D13" i="28"/>
  <c r="B19" i="28"/>
  <c r="O22" i="28"/>
  <c r="L25" i="28"/>
  <c r="C13" i="28"/>
  <c r="M22" i="28"/>
  <c r="K25" i="28"/>
  <c r="B16" i="28"/>
  <c r="O19" i="28"/>
  <c r="L22" i="28"/>
  <c r="J25" i="28"/>
  <c r="M19" i="28"/>
  <c r="K22" i="28"/>
  <c r="I25" i="28"/>
  <c r="O16" i="28"/>
  <c r="L19" i="28"/>
  <c r="J22" i="28"/>
  <c r="H25" i="28"/>
  <c r="M16" i="28"/>
  <c r="K19" i="28"/>
  <c r="I22" i="28"/>
  <c r="G25" i="28"/>
  <c r="L16" i="28"/>
  <c r="J19" i="28"/>
  <c r="H22" i="28"/>
  <c r="F25" i="28"/>
  <c r="K16" i="28"/>
  <c r="I19" i="28"/>
  <c r="G22" i="28"/>
  <c r="E25" i="28"/>
  <c r="P10" i="28"/>
  <c r="J16" i="28"/>
  <c r="H19" i="28"/>
  <c r="F22" i="28"/>
  <c r="D25" i="28"/>
  <c r="P9" i="28"/>
  <c r="R20" i="15"/>
  <c r="R19" i="15"/>
  <c r="R18" i="15"/>
  <c r="R17" i="15"/>
  <c r="O21" i="15" a="1"/>
  <c r="O21" i="15" s="1"/>
  <c r="O22" i="15" s="1" a="1"/>
  <c r="O22" i="15" s="1"/>
  <c r="O23" i="15" s="1" a="1"/>
  <c r="O23" i="15" s="1"/>
  <c r="O24" i="15" s="1" a="1"/>
  <c r="O24" i="15" s="1"/>
  <c r="Q19" i="15"/>
  <c r="R16" i="15"/>
  <c r="Q15" i="15"/>
  <c r="P21" i="15" a="1"/>
  <c r="P21" i="15" s="1"/>
  <c r="R21" i="15" s="1"/>
  <c r="P22" i="15" a="1"/>
  <c r="P22" i="15" s="1"/>
  <c r="R22" i="15" s="1"/>
  <c r="F3" i="23"/>
  <c r="B13" i="7"/>
  <c r="F23" i="15" a="1"/>
  <c r="F23" i="15" s="1"/>
  <c r="F24" i="15" s="1" a="1"/>
  <c r="F24" i="15" s="1"/>
  <c r="F25" i="15" s="1" a="1"/>
  <c r="F25" i="15" s="1"/>
  <c r="B12" i="7"/>
  <c r="I9" i="7" a="1"/>
  <c r="I9" i="7" s="1"/>
  <c r="I8" i="7" a="1"/>
  <c r="I8" i="7" s="1"/>
  <c r="I7" i="7" a="1"/>
  <c r="I7" i="7" s="1"/>
  <c r="I6" i="7" a="1"/>
  <c r="I6" i="7" s="1"/>
  <c r="E14" i="7"/>
  <c r="A72" i="8"/>
  <c r="A71" i="8"/>
  <c r="A70" i="8"/>
  <c r="A69" i="8"/>
  <c r="A68" i="8"/>
  <c r="A67" i="8"/>
  <c r="P13" i="28" l="1"/>
  <c r="P16" i="28"/>
  <c r="P22" i="28"/>
  <c r="P25" i="28"/>
  <c r="P19" i="28"/>
  <c r="G17" i="23"/>
  <c r="F26" i="15" a="1"/>
  <c r="F26" i="15" s="1"/>
  <c r="P23" i="15" a="1"/>
  <c r="P23" i="15" s="1"/>
  <c r="R23" i="15" s="1"/>
  <c r="O25" i="15" a="1"/>
  <c r="O25" i="15" s="1"/>
  <c r="O26" i="15" s="1" a="1"/>
  <c r="O26" i="15" s="1"/>
  <c r="H3" i="23" l="1"/>
  <c r="P24" i="15" a="1"/>
  <c r="P24" i="15" s="1"/>
  <c r="R24" i="15" s="1"/>
  <c r="B72" i="8"/>
  <c r="B67" i="8"/>
  <c r="B11" i="7" s="1"/>
  <c r="B16" i="7" s="1"/>
  <c r="Q39" i="15" s="1"/>
  <c r="B68" i="8"/>
  <c r="C11" i="7" s="1"/>
  <c r="C16" i="7" s="1"/>
  <c r="B70" i="8"/>
  <c r="E11" i="7" s="1"/>
  <c r="E16" i="7" s="1"/>
  <c r="B71" i="8"/>
  <c r="F11" i="7" s="1"/>
  <c r="F16" i="7" s="1"/>
  <c r="B69" i="8"/>
  <c r="D11" i="7" s="1"/>
  <c r="D16" i="7" s="1"/>
  <c r="P25" i="15" l="1" a="1"/>
  <c r="P25" i="15" s="1"/>
  <c r="R25" i="15" s="1"/>
  <c r="P26" i="15" a="1"/>
  <c r="P26" i="15" s="1"/>
  <c r="R26" i="15" s="1"/>
  <c r="C21" i="15"/>
  <c r="Q21" i="15" s="1"/>
  <c r="S39" i="15"/>
  <c r="R39" i="15"/>
  <c r="S40" i="15"/>
  <c r="Q40" i="15"/>
  <c r="R40" i="15" s="1"/>
  <c r="B22" i="15" l="1"/>
  <c r="Q22" i="15" s="1"/>
  <c r="E21" i="15"/>
  <c r="G21" i="15" s="1"/>
  <c r="L40" i="15"/>
  <c r="B11" i="23" s="1"/>
  <c r="F11" i="23" s="1"/>
  <c r="L39" i="15"/>
  <c r="B7" i="23" s="1"/>
  <c r="F7" i="23" s="1"/>
  <c r="H7" i="23" s="1"/>
  <c r="N39" i="15" l="1"/>
  <c r="D7" i="23" s="1"/>
  <c r="H21" i="15"/>
  <c r="K21" i="15" s="1"/>
  <c r="N40" i="15"/>
  <c r="D11" i="23" s="1"/>
  <c r="B23" i="15"/>
  <c r="Q23" i="15" s="1"/>
  <c r="E22" i="15"/>
  <c r="G22" i="15" s="1"/>
  <c r="H22" i="15" l="1"/>
  <c r="K22" i="15" s="1"/>
  <c r="B24" i="15"/>
  <c r="Q24" i="15" s="1"/>
  <c r="E23" i="15"/>
  <c r="G23" i="15" s="1"/>
  <c r="H23" i="15" l="1"/>
  <c r="K23" i="15" s="1"/>
  <c r="B25" i="15"/>
  <c r="Q25" i="15" s="1"/>
  <c r="E24" i="15"/>
  <c r="G24" i="15" s="1"/>
  <c r="H24" i="15" l="1"/>
  <c r="K24" i="15" s="1"/>
  <c r="E25" i="15"/>
  <c r="G25" i="15" s="1"/>
  <c r="B26" i="15"/>
  <c r="E26" i="15" l="1"/>
  <c r="Q26" i="15"/>
  <c r="H25" i="15"/>
  <c r="K25" i="15" s="1"/>
  <c r="G26" i="15" l="1"/>
  <c r="H26" i="15" s="1"/>
  <c r="K26" i="15" s="1"/>
  <c r="K34" i="15" l="1"/>
  <c r="K28" i="15" a="1"/>
  <c r="K28" i="15" s="1"/>
  <c r="L33" i="15" s="1"/>
  <c r="B17" i="23" s="1"/>
  <c r="F17" i="23" l="1"/>
  <c r="D17" i="23"/>
  <c r="H17" i="23" l="1"/>
  <c r="A22" i="23"/>
  <c r="H11"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23825B-2FDD-4A64-92D0-1F3BFC8C1A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E5C36D8-F7FD-479F-8615-C8A7B10BC933}" name="WorksheetConnection_H_Waseem_SYK_DCF_Full.xlsx!Table6" type="102" refreshedVersion="8" minRefreshableVersion="5">
    <extLst>
      <ext xmlns:x15="http://schemas.microsoft.com/office/spreadsheetml/2010/11/main" uri="{DE250136-89BD-433C-8126-D09CA5730AF9}">
        <x15:connection id="Table6">
          <x15:rangePr sourceName="_xlcn.WorksheetConnection_H_Waseem_SYK_DCF_Full.xlsxTable61"/>
        </x15:connection>
      </ext>
    </extLst>
  </connection>
  <connection id="3" xr16:uid="{07CEBEF6-B5C3-4AEE-A336-563ED0B9FFE1}" name="WorksheetConnection_Master Data!$A$13:$R$26" type="102" refreshedVersion="8" minRefreshableVersion="5">
    <extLst>
      <ext xmlns:x15="http://schemas.microsoft.com/office/spreadsheetml/2010/11/main" uri="{DE250136-89BD-433C-8126-D09CA5730AF9}">
        <x15:connection id="Range" autoDelete="1">
          <x15:rangePr sourceName="_xlcn.WorksheetConnection_MasterDataA13R26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7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futureMetadata>
  <cellMetadata count="1">
    <bk>
      <rc t="1" v="0"/>
    </bk>
  </cellMetadata>
  <valueMetadata count="37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valueMetadata>
</metadata>
</file>

<file path=xl/sharedStrings.xml><?xml version="1.0" encoding="utf-8"?>
<sst xmlns="http://schemas.openxmlformats.org/spreadsheetml/2006/main" count="8808" uniqueCount="2195">
  <si>
    <t>SYK US Equity- Company Financial (Multiple Periods)</t>
  </si>
  <si>
    <t>SYK US Equity    Periodicity:A    Currency:USD    Estimate Source:BST    Actual Source:Bloomberg</t>
  </si>
  <si>
    <t>In Millions of USD</t>
  </si>
  <si>
    <t>12 Months Ending</t>
  </si>
  <si>
    <t>Field Expression</t>
  </si>
  <si>
    <t>Calcrt Field</t>
  </si>
  <si>
    <t>Segment Id</t>
  </si>
  <si>
    <t xml:space="preserve">  Highlights</t>
  </si>
  <si>
    <t xml:space="preserve">  Adjusted Diluted EPS</t>
  </si>
  <si>
    <t>IS_COMP_EPS_ADJUSTED_OLD</t>
  </si>
  <si>
    <t>IS900</t>
  </si>
  <si>
    <t xml:space="preserve">  Revenue</t>
  </si>
  <si>
    <t>IS_COMP_SALES</t>
  </si>
  <si>
    <t>IS902</t>
  </si>
  <si>
    <t xml:space="preserve">    Organic Growth (%)</t>
  </si>
  <si>
    <t>IS_ORGANIC_GROWTH_RATE</t>
  </si>
  <si>
    <t>IS950</t>
  </si>
  <si>
    <t xml:space="preserve">  </t>
  </si>
  <si>
    <t xml:space="preserve">  Orthopaedics</t>
  </si>
  <si>
    <t xml:space="preserve">    Revenue</t>
  </si>
  <si>
    <t>SALES_REV_TURN</t>
  </si>
  <si>
    <t>IS010</t>
  </si>
  <si>
    <t>SEG0000608032 Segment</t>
  </si>
  <si>
    <t xml:space="preserve">      Organic Growth (%)</t>
  </si>
  <si>
    <t xml:space="preserve">        Knees</t>
  </si>
  <si>
    <t>SEG0000173641 Segment</t>
  </si>
  <si>
    <t xml:space="preserve">        Hips</t>
  </si>
  <si>
    <t>SEG0000173657 Segment</t>
  </si>
  <si>
    <t xml:space="preserve">        Trauma &amp; Extremities</t>
  </si>
  <si>
    <t>SEG0000173644 Segment</t>
  </si>
  <si>
    <t xml:space="preserve">        Spinal Implants</t>
  </si>
  <si>
    <t>SEG4388955483 Segment</t>
  </si>
  <si>
    <t xml:space="preserve">        Other</t>
  </si>
  <si>
    <t>SEG0000608256 Segment</t>
  </si>
  <si>
    <t xml:space="preserve">  MedSurg &amp; Neurotechnology</t>
  </si>
  <si>
    <t>SEG0000608020 Segment</t>
  </si>
  <si>
    <t xml:space="preserve">        Instruments</t>
  </si>
  <si>
    <t>SEG0000173634 Segment</t>
  </si>
  <si>
    <t xml:space="preserve">        Endoscopy</t>
  </si>
  <si>
    <t>SEG0000173697 Segment</t>
  </si>
  <si>
    <t xml:space="preserve">        Medical</t>
  </si>
  <si>
    <t>SEG0000173720 Segment</t>
  </si>
  <si>
    <t xml:space="preserve">        Vascular</t>
  </si>
  <si>
    <t>SEG0000608022 Segment</t>
  </si>
  <si>
    <t xml:space="preserve">        Neuro Cranial</t>
  </si>
  <si>
    <t>SEG0000608023 Segment</t>
  </si>
  <si>
    <t xml:space="preserve">  Adjusted Gross Margin (%)</t>
  </si>
  <si>
    <t>IS_COMP_GROSS_MARGIN_PERCENTAGE</t>
  </si>
  <si>
    <t>IM092</t>
  </si>
  <si>
    <t xml:space="preserve">  Adjusted Operating Margin (%)</t>
  </si>
  <si>
    <t>CB_IS_ADJ_OPERATING_MARGIN</t>
  </si>
  <si>
    <t>IM731</t>
  </si>
  <si>
    <t xml:space="preserve">  Adjusted Net Income</t>
  </si>
  <si>
    <t>IS_COMP_NET_INCOME_ADJUST_OLD</t>
  </si>
  <si>
    <t>IS903</t>
  </si>
  <si>
    <t xml:space="preserve">  Net Debt</t>
  </si>
  <si>
    <t>HEADLINE_NET_DEBT</t>
  </si>
  <si>
    <t>F1708</t>
  </si>
  <si>
    <t xml:space="preserve">  Free Cash Flow</t>
  </si>
  <si>
    <t>CF_FREE_CASH_FLOW</t>
  </si>
  <si>
    <t>RR008</t>
  </si>
  <si>
    <t xml:space="preserve">  Company Operating Metrics</t>
  </si>
  <si>
    <t xml:space="preserve">  Company-Level Industry Statistics</t>
  </si>
  <si>
    <t xml:space="preserve">    Sales Change - Acquisitions (%)</t>
  </si>
  <si>
    <t>IS_PCT_SALES_CHANGE_ACQUIS</t>
  </si>
  <si>
    <t>IM764</t>
  </si>
  <si>
    <t xml:space="preserve">  Balance Sheet &amp; Cash Flow Metrics</t>
  </si>
  <si>
    <t xml:space="preserve">  Cash Conversion Cycle</t>
  </si>
  <si>
    <t>CASH_CONVERSION_CYCLE</t>
  </si>
  <si>
    <t>RR798</t>
  </si>
  <si>
    <t xml:space="preserve">    Days Sales Outstanding</t>
  </si>
  <si>
    <t>ACCT_RCV_DAYS</t>
  </si>
  <si>
    <t>RR159</t>
  </si>
  <si>
    <t xml:space="preserve">  Business Breakdown</t>
  </si>
  <si>
    <t xml:space="preserve">      Constant Currency Growth (%)</t>
  </si>
  <si>
    <t>REVENUE_GROWTH_CC_1_YR</t>
  </si>
  <si>
    <t>M0025</t>
  </si>
  <si>
    <t xml:space="preserve">          Constant Currency Growth (%)</t>
  </si>
  <si>
    <t xml:space="preserve">  Prior Disclosure</t>
  </si>
  <si>
    <t xml:space="preserve">      Spine</t>
  </si>
  <si>
    <t>SEG0000173732 Segment</t>
  </si>
  <si>
    <t xml:space="preserve">        Constant Currency Growth (%)</t>
  </si>
  <si>
    <t xml:space="preserve">  Regional Breakdown</t>
  </si>
  <si>
    <t xml:space="preserve">  United States</t>
  </si>
  <si>
    <t>SEG0000173628 Segment</t>
  </si>
  <si>
    <t xml:space="preserve">    Orthopaedics</t>
  </si>
  <si>
    <t>SEG0000608371 Segment</t>
  </si>
  <si>
    <t xml:space="preserve">      Knees</t>
  </si>
  <si>
    <t>SEG0000173638 Segment</t>
  </si>
  <si>
    <t xml:space="preserve">      Hips</t>
  </si>
  <si>
    <t>SEG0000173703 Segment</t>
  </si>
  <si>
    <t xml:space="preserve">      Trauma &amp; Extremities</t>
  </si>
  <si>
    <t>SEG0000173723 Segment</t>
  </si>
  <si>
    <t xml:space="preserve">      Spinal Implants</t>
  </si>
  <si>
    <t>SEG8722495305 Segment</t>
  </si>
  <si>
    <t xml:space="preserve">        As Reported Growth (%)</t>
  </si>
  <si>
    <t>IS_REVENUE_GROWTH_PERCENTAGE</t>
  </si>
  <si>
    <t>IC060</t>
  </si>
  <si>
    <t xml:space="preserve">      Other</t>
  </si>
  <si>
    <t>SEG0000608389 Segment</t>
  </si>
  <si>
    <t xml:space="preserve">    MedSurg &amp; Neurotechnology</t>
  </si>
  <si>
    <t>SEG0000608369 Segment</t>
  </si>
  <si>
    <t xml:space="preserve">      Instruments</t>
  </si>
  <si>
    <t>SEG0000173692 Segment</t>
  </si>
  <si>
    <t xml:space="preserve">      Endoscopy</t>
  </si>
  <si>
    <t>SEG0000173706 Segment</t>
  </si>
  <si>
    <t xml:space="preserve">      Medical</t>
  </si>
  <si>
    <t>SEG0000173652 Segment</t>
  </si>
  <si>
    <t xml:space="preserve">      Vascular</t>
  </si>
  <si>
    <t>SEG0000608375 Segment</t>
  </si>
  <si>
    <t xml:space="preserve">      Neuro Cranial</t>
  </si>
  <si>
    <t>SEG0000608376 Segment</t>
  </si>
  <si>
    <t xml:space="preserve">  International</t>
  </si>
  <si>
    <t>SEG0000173693 Segment</t>
  </si>
  <si>
    <t xml:space="preserve">    As Reported Growth (%)</t>
  </si>
  <si>
    <t xml:space="preserve">    Constant Currency Growth (%)</t>
  </si>
  <si>
    <t>SEG0000608372 Segment</t>
  </si>
  <si>
    <t xml:space="preserve">      As Reported Growth (%)</t>
  </si>
  <si>
    <t>SEG0000173712 Segment</t>
  </si>
  <si>
    <t>SEG0000173707 Segment</t>
  </si>
  <si>
    <t>SEG0000173696 Segment</t>
  </si>
  <si>
    <t>SEG1944566105 Segment</t>
  </si>
  <si>
    <t>SEG0000608395 Segment</t>
  </si>
  <si>
    <t>SEG0000173734 Segment</t>
  </si>
  <si>
    <t>SEG0000608373 Segment</t>
  </si>
  <si>
    <t>SEG0000173672 Segment</t>
  </si>
  <si>
    <t>SEG0000173665 Segment</t>
  </si>
  <si>
    <t>SEG0000173649 Segment</t>
  </si>
  <si>
    <t>SEG0000608391 Segment</t>
  </si>
  <si>
    <t>SEG0000608392 Segment</t>
  </si>
  <si>
    <t xml:space="preserve">      United States</t>
  </si>
  <si>
    <t xml:space="preserve">        Spine</t>
  </si>
  <si>
    <t>SEG0000173701 Segment</t>
  </si>
  <si>
    <t xml:space="preserve">      International</t>
  </si>
  <si>
    <t>SEG0000173674 Segment</t>
  </si>
  <si>
    <t xml:space="preserve">          As Reported Growth (%)</t>
  </si>
  <si>
    <t xml:space="preserve">  Income Statement (Adjusted)</t>
  </si>
  <si>
    <t xml:space="preserve">  Total Revenue</t>
  </si>
  <si>
    <t xml:space="preserve">    FX Contribution to Growth (%)</t>
  </si>
  <si>
    <t>IS_SALES_CHANGE_CURRENCIES_PCT</t>
  </si>
  <si>
    <t>IC056</t>
  </si>
  <si>
    <t xml:space="preserve">    Growth at Constant Currency (%)</t>
  </si>
  <si>
    <t>IS_ADJ_SALES_YOY_CHG_PCT_CC</t>
  </si>
  <si>
    <t>IM700</t>
  </si>
  <si>
    <t xml:space="preserve">  Cost of Goods Sold</t>
  </si>
  <si>
    <t>IS_ADJUSTED_COGS_AS_REPORTED</t>
  </si>
  <si>
    <t>IM057</t>
  </si>
  <si>
    <t xml:space="preserve">  Gross Profit</t>
  </si>
  <si>
    <t>IS_ADJ_GROSS_PROFIT_AS_REPORTED</t>
  </si>
  <si>
    <t>IS923</t>
  </si>
  <si>
    <t xml:space="preserve">    Gross Margin (%)</t>
  </si>
  <si>
    <t xml:space="preserve">  Total Operating Expenses</t>
  </si>
  <si>
    <t xml:space="preserve">    Selling, General, &amp; Administrative</t>
  </si>
  <si>
    <t>IS_ADJ_SG_AND_A_AS_REPORTED</t>
  </si>
  <si>
    <t>IS926</t>
  </si>
  <si>
    <t xml:space="preserve">      As % of Revenue</t>
  </si>
  <si>
    <t>ADJ_SG_AND_A_TO_SALES</t>
  </si>
  <si>
    <t>RX613</t>
  </si>
  <si>
    <t xml:space="preserve">    Research &amp; Development</t>
  </si>
  <si>
    <t>IS_ADJ_R_AND_D_AS_REPORTED</t>
  </si>
  <si>
    <t>IS925</t>
  </si>
  <si>
    <t>ADJ_R_AND_D_TO_SALES</t>
  </si>
  <si>
    <t>RX612</t>
  </si>
  <si>
    <t xml:space="preserve">  Operating Income</t>
  </si>
  <si>
    <t>IS_COMPARABLE_EBIT</t>
  </si>
  <si>
    <t>IM132</t>
  </si>
  <si>
    <t xml:space="preserve">    Operating Margin (%)</t>
  </si>
  <si>
    <t xml:space="preserve">  Depreciation &amp; Amortization</t>
  </si>
  <si>
    <t>CF_DEPR_AMORT</t>
  </si>
  <si>
    <t>CF011</t>
  </si>
  <si>
    <t xml:space="preserve">    Depreciation</t>
  </si>
  <si>
    <t>HEADLINE_DEPR_EXPN</t>
  </si>
  <si>
    <t>F1702</t>
  </si>
  <si>
    <t xml:space="preserve">    Amortization</t>
  </si>
  <si>
    <t>HEADLINE_AMORT_EXPN</t>
  </si>
  <si>
    <t>F1710</t>
  </si>
  <si>
    <t xml:space="preserve">  EBITDA</t>
  </si>
  <si>
    <t>IS_COMPARABLE_EBITDA</t>
  </si>
  <si>
    <t>IM131</t>
  </si>
  <si>
    <t xml:space="preserve">    EBITDA Margin (%)</t>
  </si>
  <si>
    <t>EBITDA_TO_REVENUE</t>
  </si>
  <si>
    <t>RX225</t>
  </si>
  <si>
    <t xml:space="preserve">  Pre-Tax Income</t>
  </si>
  <si>
    <t>IS_COMP_PTP_EX_STK_BASED_COMP</t>
  </si>
  <si>
    <t>IM383</t>
  </si>
  <si>
    <t xml:space="preserve">  Income Tax Expense</t>
  </si>
  <si>
    <t>CB_IS_ADJ_INC_TAX_EXPN</t>
  </si>
  <si>
    <t>IM730</t>
  </si>
  <si>
    <t xml:space="preserve">    Tax Rate (%)</t>
  </si>
  <si>
    <t>CB_IS_ADJUSTED_ETR_PCT</t>
  </si>
  <si>
    <t>IM791</t>
  </si>
  <si>
    <t xml:space="preserve">  Net Income</t>
  </si>
  <si>
    <t xml:space="preserve">    Net Margin (%)</t>
  </si>
  <si>
    <t>ADJ_PROFIT_MARGIN</t>
  </si>
  <si>
    <t>RX611</t>
  </si>
  <si>
    <t xml:space="preserve">  Basic Weighted Avg. Shares</t>
  </si>
  <si>
    <t>IS_AVG_NUM_SH_FOR_EPS</t>
  </si>
  <si>
    <t>IS060</t>
  </si>
  <si>
    <t xml:space="preserve">  Diluted Weighted Avg. Shares</t>
  </si>
  <si>
    <t>CB_IS_ADJ_DILUTED_AVG_SHS</t>
  </si>
  <si>
    <t>IM746</t>
  </si>
  <si>
    <t xml:space="preserve">  Diluted EPS</t>
  </si>
  <si>
    <t xml:space="preserve">  Dividend Per Share</t>
  </si>
  <si>
    <t>HEADLINE_DPS</t>
  </si>
  <si>
    <t>F1700</t>
  </si>
  <si>
    <t xml:space="preserve">  GAAP Results</t>
  </si>
  <si>
    <t xml:space="preserve">    Cost of Goods Sold</t>
  </si>
  <si>
    <t>IS_COGS_TO_FE_AND_PP_AND_G</t>
  </si>
  <si>
    <t>IS021</t>
  </si>
  <si>
    <t>COGS_TO_NET_SALES</t>
  </si>
  <si>
    <t>RR279</t>
  </si>
  <si>
    <t xml:space="preserve">    Gross Profit</t>
  </si>
  <si>
    <t>CB_IS_GROSS_PROFIT</t>
  </si>
  <si>
    <t>IC399</t>
  </si>
  <si>
    <t xml:space="preserve">    Total Operating Expenses</t>
  </si>
  <si>
    <t>IS_TOT_OPER_EXP</t>
  </si>
  <si>
    <t>IS105</t>
  </si>
  <si>
    <t>OPERATING_EXPENSES_TO_NET_SALES</t>
  </si>
  <si>
    <t>RR280</t>
  </si>
  <si>
    <t xml:space="preserve">      Selling, General &amp; Administrative</t>
  </si>
  <si>
    <t>IS_SG_AND_A_EXPENSE</t>
  </si>
  <si>
    <t>IM122</t>
  </si>
  <si>
    <t xml:space="preserve">        As % of Revenue</t>
  </si>
  <si>
    <t>SGA_AS_PCT_TOTAL_SALES</t>
  </si>
  <si>
    <t>F1010</t>
  </si>
  <si>
    <t xml:space="preserve">      Research &amp; Development</t>
  </si>
  <si>
    <t>IS_OPEX_R_AND_D_GAAP</t>
  </si>
  <si>
    <t>IM441</t>
  </si>
  <si>
    <t xml:space="preserve">    Operating Income</t>
  </si>
  <si>
    <t>IS_EBIT_AS_REPORTED</t>
  </si>
  <si>
    <t>IM013</t>
  </si>
  <si>
    <t xml:space="preserve">    Other (Income) Expense, Net</t>
  </si>
  <si>
    <t>IS_NON_OPERATING_INC_LOSS_GAAP</t>
  </si>
  <si>
    <t>IM437</t>
  </si>
  <si>
    <t xml:space="preserve">    Pretax Income</t>
  </si>
  <si>
    <t>PRETAX_INC</t>
  </si>
  <si>
    <t>RR001</t>
  </si>
  <si>
    <t xml:space="preserve">    Income Tax Expense</t>
  </si>
  <si>
    <t>IS_INC_TAX_EXP</t>
  </si>
  <si>
    <t>IS038</t>
  </si>
  <si>
    <t xml:space="preserve">    Net Income</t>
  </si>
  <si>
    <t>IS_COMP_NET_INCOME_GAAP</t>
  </si>
  <si>
    <t>IS904</t>
  </si>
  <si>
    <t xml:space="preserve">      Net Margin (%)</t>
  </si>
  <si>
    <t>PROF_MARGIN</t>
  </si>
  <si>
    <t>RR243</t>
  </si>
  <si>
    <t xml:space="preserve">    Diluted EPS</t>
  </si>
  <si>
    <t>IS_COMP_EPS_GAAP</t>
  </si>
  <si>
    <t>IS901</t>
  </si>
  <si>
    <t xml:space="preserve">  Company Specific Adjustments</t>
  </si>
  <si>
    <t xml:space="preserve">    Restructuring-Related Charges</t>
  </si>
  <si>
    <t>IS_RESTRUCTURING_OP</t>
  </si>
  <si>
    <t>IM524</t>
  </si>
  <si>
    <t xml:space="preserve">  Condensed Balance Sheet</t>
  </si>
  <si>
    <t xml:space="preserve">  Assets</t>
  </si>
  <si>
    <t xml:space="preserve">    Current Assets</t>
  </si>
  <si>
    <t>BS_CUR_ASSET_REPORT</t>
  </si>
  <si>
    <t>BS015</t>
  </si>
  <si>
    <t xml:space="preserve">      Cash, Cash Equivalents &amp; Marketable Securities</t>
  </si>
  <si>
    <t>BS_CASH_CASH_EQUIVALENTS_AND_STI</t>
  </si>
  <si>
    <t>BM289</t>
  </si>
  <si>
    <t xml:space="preserve">        Cash &amp; Cash Equivalents</t>
  </si>
  <si>
    <t>BS_CASH_NEAR_CASH_ITEM</t>
  </si>
  <si>
    <t>BS010</t>
  </si>
  <si>
    <t xml:space="preserve">        Marketable Securities</t>
  </si>
  <si>
    <t>BS_MKT_SEC_OTHER_ST_INVEST</t>
  </si>
  <si>
    <t>BS011</t>
  </si>
  <si>
    <t xml:space="preserve">      Accounts Receivable</t>
  </si>
  <si>
    <t>BS_ACCTS_REC_EXCL_NOTES_REC</t>
  </si>
  <si>
    <t>BS496</t>
  </si>
  <si>
    <t xml:space="preserve">      Inventories</t>
  </si>
  <si>
    <t>BS_INVENTORIES</t>
  </si>
  <si>
    <t>BS013</t>
  </si>
  <si>
    <t xml:space="preserve">      Other Current Assets</t>
  </si>
  <si>
    <t>BS_OTHER_CUR_ASSET</t>
  </si>
  <si>
    <t>BS014</t>
  </si>
  <si>
    <t xml:space="preserve">    Non-Current Assets</t>
  </si>
  <si>
    <t>BS_TOTAL_NON_CURRENT_ASSETS</t>
  </si>
  <si>
    <t>BM321</t>
  </si>
  <si>
    <t xml:space="preserve">      Property, Plant &amp; Equipment, Net</t>
  </si>
  <si>
    <t>CB_BS_PP_AND_E_NET</t>
  </si>
  <si>
    <t>BM788</t>
  </si>
  <si>
    <t xml:space="preserve">        Property, Plant &amp; Equipment, Gross</t>
  </si>
  <si>
    <t>CB_BS_GROSS_FIXED_ASSETS</t>
  </si>
  <si>
    <t>BL303</t>
  </si>
  <si>
    <t xml:space="preserve">        Accumulated Depreciation</t>
  </si>
  <si>
    <t>BS_ACCUM_DEPR</t>
  </si>
  <si>
    <t>BS031</t>
  </si>
  <si>
    <t xml:space="preserve">      Deferred Income Tax Assets</t>
  </si>
  <si>
    <t>BS_DEFERRED_TAX_ASSETS_LT</t>
  </si>
  <si>
    <t>BM079</t>
  </si>
  <si>
    <t xml:space="preserve">      Total Intangible Assets</t>
  </si>
  <si>
    <t>BS_DISCLOSED_INTANGIBLES</t>
  </si>
  <si>
    <t>BS138</t>
  </si>
  <si>
    <t xml:space="preserve">        Goodwill</t>
  </si>
  <si>
    <t>BS_GOODWILL</t>
  </si>
  <si>
    <t>BS161</t>
  </si>
  <si>
    <t xml:space="preserve">        Other Intangible Assets</t>
  </si>
  <si>
    <t>BS_OTHER_INTANGIBLE_ASSETS</t>
  </si>
  <si>
    <t>BM282</t>
  </si>
  <si>
    <t>CB_BS_OTHER_NONCURRENT_ASSETS</t>
  </si>
  <si>
    <t>BM784</t>
  </si>
  <si>
    <t xml:space="preserve">    Total Assets</t>
  </si>
  <si>
    <t>BS_TOT_ASSET</t>
  </si>
  <si>
    <t>BS035</t>
  </si>
  <si>
    <t xml:space="preserve">  Liabilities &amp; Equity</t>
  </si>
  <si>
    <t xml:space="preserve">    Current Liabilities</t>
  </si>
  <si>
    <t>BS_CUR_LIAB</t>
  </si>
  <si>
    <t>BS050</t>
  </si>
  <si>
    <t xml:space="preserve">      Accounts Payable</t>
  </si>
  <si>
    <t>BS_ACCT_PAYABLE</t>
  </si>
  <si>
    <t>BS036</t>
  </si>
  <si>
    <t xml:space="preserve">      Accrued Taxes</t>
  </si>
  <si>
    <t>BS_TAXES_PAYABLE</t>
  </si>
  <si>
    <t>BM919</t>
  </si>
  <si>
    <t xml:space="preserve">      Dividends Payable</t>
  </si>
  <si>
    <t>BS_INTEREST_AND_DIVIDENDS_PAYABLE</t>
  </si>
  <si>
    <t>BM284</t>
  </si>
  <si>
    <t xml:space="preserve">      Accrued Compensation</t>
  </si>
  <si>
    <t>BS_ST_ACC_CMPNSTN_POSTRET_OBLIG</t>
  </si>
  <si>
    <t>BL253</t>
  </si>
  <si>
    <t xml:space="preserve">      Accrued Expenses &amp; Other Liabilities</t>
  </si>
  <si>
    <t>BS_ACCRUD_EXPNSS_AND_OTHR</t>
  </si>
  <si>
    <t>BL255</t>
  </si>
  <si>
    <t xml:space="preserve">      Short-Term Debt</t>
  </si>
  <si>
    <t>BS_CURR_PORTION_LT_DEBT</t>
  </si>
  <si>
    <t>BS650</t>
  </si>
  <si>
    <t>BS_OTHER_ST_LIAB</t>
  </si>
  <si>
    <t>BS048</t>
  </si>
  <si>
    <t xml:space="preserve">    Non-Current Liabilities</t>
  </si>
  <si>
    <t xml:space="preserve">      Long-Term Debt</t>
  </si>
  <si>
    <t>BS_LONG_TERM_BORROWINGS</t>
  </si>
  <si>
    <t>BM286</t>
  </si>
  <si>
    <t xml:space="preserve">      Other Non-Current Liabilities</t>
  </si>
  <si>
    <t>OTHER_NONCUR_LIABS_SUB_DETAILED</t>
  </si>
  <si>
    <t>F1209</t>
  </si>
  <si>
    <t xml:space="preserve">        Income Taxes</t>
  </si>
  <si>
    <t>BS_NONCURRNT_TAX_LIBLTS</t>
  </si>
  <si>
    <t>BL297</t>
  </si>
  <si>
    <t>CB_BS_OTHER_NONCURRENT_LIABS</t>
  </si>
  <si>
    <t>BM785</t>
  </si>
  <si>
    <t xml:space="preserve">    Total Liabilities</t>
  </si>
  <si>
    <t>BS_TOTAL_LIABILITIES</t>
  </si>
  <si>
    <t>BS729</t>
  </si>
  <si>
    <t xml:space="preserve">    Shareholders Equity</t>
  </si>
  <si>
    <t>HEADLINE_NAV</t>
  </si>
  <si>
    <t>F1706</t>
  </si>
  <si>
    <t xml:space="preserve">      Common Stock</t>
  </si>
  <si>
    <t>BS_COMMON_STOCK</t>
  </si>
  <si>
    <t>BS121</t>
  </si>
  <si>
    <t xml:space="preserve">      Additional Paid-in Capital</t>
  </si>
  <si>
    <t>BS_ADD_PAID_IN_CAP</t>
  </si>
  <si>
    <t>BS122</t>
  </si>
  <si>
    <t xml:space="preserve">      Retained Earnings</t>
  </si>
  <si>
    <t>BS_PURE_RETAINED_EARNINGS</t>
  </si>
  <si>
    <t>BS190</t>
  </si>
  <si>
    <t xml:space="preserve">      Other Equity</t>
  </si>
  <si>
    <t>BS_ACCUMULATED_OTHER_COMP_INC</t>
  </si>
  <si>
    <t>BM255</t>
  </si>
  <si>
    <t xml:space="preserve">    Total Liabilities &amp; Shareholders' Equity</t>
  </si>
  <si>
    <t xml:space="preserve">  Special Company Reference Items</t>
  </si>
  <si>
    <t xml:space="preserve">    Total Debt</t>
  </si>
  <si>
    <t>CB_BS_TOTAL_DEBT_FROM_SCHEDULE</t>
  </si>
  <si>
    <t>BL346</t>
  </si>
  <si>
    <t xml:space="preserve">      Total Debt to Capital (%)</t>
  </si>
  <si>
    <t>TOT_DEBT_TO_TOT_CAP</t>
  </si>
  <si>
    <t>RR045</t>
  </si>
  <si>
    <t xml:space="preserve">      Total Debt to EBITDA</t>
  </si>
  <si>
    <t>TOT_DEBT_TO_EBITDA</t>
  </si>
  <si>
    <t>RR052</t>
  </si>
  <si>
    <t xml:space="preserve">      Current Ratio</t>
  </si>
  <si>
    <t>CUR_RATIO</t>
  </si>
  <si>
    <t>RR053</t>
  </si>
  <si>
    <t xml:space="preserve">      Quick Ratio</t>
  </si>
  <si>
    <t>QUICK_RATIO</t>
  </si>
  <si>
    <t>RR054</t>
  </si>
  <si>
    <t xml:space="preserve">    </t>
  </si>
  <si>
    <t xml:space="preserve">    Return on Assets</t>
  </si>
  <si>
    <t>RETURN_ON_ASSET</t>
  </si>
  <si>
    <t>RR028</t>
  </si>
  <si>
    <t xml:space="preserve">    Return on Equity</t>
  </si>
  <si>
    <t>RETURN_COM_EQY</t>
  </si>
  <si>
    <t>RR029</t>
  </si>
  <si>
    <t xml:space="preserve">    Cash Conversion Cycle</t>
  </si>
  <si>
    <t xml:space="preserve">      Day Sales Outstanding</t>
  </si>
  <si>
    <t xml:space="preserve">    Asset Turnover</t>
  </si>
  <si>
    <t>ASSET_TURNOVER</t>
  </si>
  <si>
    <t>RR138</t>
  </si>
  <si>
    <t xml:space="preserve">  Condensed Cash Flow Statement</t>
  </si>
  <si>
    <t xml:space="preserve">  Cash from Operating Activities</t>
  </si>
  <si>
    <t>CF_NET_INC</t>
  </si>
  <si>
    <t>CF010</t>
  </si>
  <si>
    <t xml:space="preserve">    Depreciation &amp; Amortization</t>
  </si>
  <si>
    <t>DEPR_EXP_TO_NET_SALES</t>
  </si>
  <si>
    <t>RR294</t>
  </si>
  <si>
    <t xml:space="preserve">    Stock-Based Compensation</t>
  </si>
  <si>
    <t>IS_EXPENSE_STOCK_BASED_COMP</t>
  </si>
  <si>
    <t>IS323</t>
  </si>
  <si>
    <t xml:space="preserve">    Deferred Income Taxes</t>
  </si>
  <si>
    <t>CF_DEF_INC_TAX</t>
  </si>
  <si>
    <t>CF103</t>
  </si>
  <si>
    <t xml:space="preserve">    Change in Working Capital</t>
  </si>
  <si>
    <t xml:space="preserve">      Change in Accounts Receivable</t>
  </si>
  <si>
    <t>CF_ACCT_RCV_UNBILLED_REV</t>
  </si>
  <si>
    <t>CF107</t>
  </si>
  <si>
    <t xml:space="preserve">      Change In Inventories</t>
  </si>
  <si>
    <t>CF_CHANGE_IN_INVENTORIES</t>
  </si>
  <si>
    <t>CF109</t>
  </si>
  <si>
    <t xml:space="preserve">      Change in Accounts Payable</t>
  </si>
  <si>
    <t>CF_CHANGE_IN_ACCOUNTS_PAYABLE</t>
  </si>
  <si>
    <t>CF278</t>
  </si>
  <si>
    <t xml:space="preserve">      Change in Income Taxes Payable</t>
  </si>
  <si>
    <t>CF_CHANGE_IN_INCME_TAXS_PYBL_REC</t>
  </si>
  <si>
    <t>CF441</t>
  </si>
  <si>
    <t xml:space="preserve">      Change in Accrued Expenses &amp; Other Liabilities</t>
  </si>
  <si>
    <t>CF_CHANGE_IN_ACCRUD_EXPNSS</t>
  </si>
  <si>
    <t>CF435</t>
  </si>
  <si>
    <t xml:space="preserve">      Change in Recall-Related Payments</t>
  </si>
  <si>
    <t xml:space="preserve">      Other, Net</t>
  </si>
  <si>
    <t>CF_CHG_IN_OTHR_ASSTS_AND_LIBLTS</t>
  </si>
  <si>
    <t>CF438</t>
  </si>
  <si>
    <t xml:space="preserve">  Cash Flow from Operations</t>
  </si>
  <si>
    <t>CB_CF_NET_CASH_OPERATING_ACT</t>
  </si>
  <si>
    <t>CF376</t>
  </si>
  <si>
    <t xml:space="preserve">  Cash from Investing Activities</t>
  </si>
  <si>
    <t xml:space="preserve">    Capital Expenditures</t>
  </si>
  <si>
    <t>HEADLINE_CAPEX</t>
  </si>
  <si>
    <t>F1705</t>
  </si>
  <si>
    <t>CAP_EXPEND_TO_SALES</t>
  </si>
  <si>
    <t>RR166</t>
  </si>
  <si>
    <t xml:space="preserve">    Acquisitions</t>
  </si>
  <si>
    <t>CF_CASH_FOR_ACQUIS_SUBSIDIARIES</t>
  </si>
  <si>
    <t>CF316</t>
  </si>
  <si>
    <t xml:space="preserve">    Change in Short-Term Investments</t>
  </si>
  <si>
    <t>CF_NET_CHG_ST_INVEST</t>
  </si>
  <si>
    <t>CF068</t>
  </si>
  <si>
    <t xml:space="preserve">      Purchases of Marketable Securities</t>
  </si>
  <si>
    <t>CB_CF_PURCHASES_OF_ST_MARKTABLE_SECS</t>
  </si>
  <si>
    <t>CF482</t>
  </si>
  <si>
    <t xml:space="preserve">      Proceeds from Sales of Marketable Securities</t>
  </si>
  <si>
    <t>CB_CF_PROCEEDS_FROM_ST_MARKETABLE_SECS</t>
  </si>
  <si>
    <t>CF480</t>
  </si>
  <si>
    <t xml:space="preserve">    Other Investing Activities</t>
  </si>
  <si>
    <t>CB_CF_OTHER_INVESTING_ACTIVITIES</t>
  </si>
  <si>
    <t>CF491</t>
  </si>
  <si>
    <t xml:space="preserve">  Cash Flow from Investing</t>
  </si>
  <si>
    <t>CB_CF_NET_CASH_INVESTING_ACT</t>
  </si>
  <si>
    <t>CF377</t>
  </si>
  <si>
    <t xml:space="preserve">  Cash from Financing Activities</t>
  </si>
  <si>
    <t xml:space="preserve">    Payments on Borrowings</t>
  </si>
  <si>
    <t>CB_CF_REPAYMENT_LT_DEBT</t>
  </si>
  <si>
    <t>CF486</t>
  </si>
  <si>
    <t xml:space="preserve">    Change in Equity</t>
  </si>
  <si>
    <t>CF_PURCHSE_OF_COMMN_STOCK</t>
  </si>
  <si>
    <t>CF457</t>
  </si>
  <si>
    <t xml:space="preserve">    Dividends Paid</t>
  </si>
  <si>
    <t>CF_DVD_PAID</t>
  </si>
  <si>
    <t>CF026</t>
  </si>
  <si>
    <t xml:space="preserve">    Change in Debt</t>
  </si>
  <si>
    <t>CF_PROCEEDS_REPAYMNTS_BORROWINGS</t>
  </si>
  <si>
    <t>CF287</t>
  </si>
  <si>
    <t xml:space="preserve">      Debt Issuance</t>
  </si>
  <si>
    <t>CF_PROC_LT_DEBT_AND_CAPITAL_LEASE</t>
  </si>
  <si>
    <t>CF324</t>
  </si>
  <si>
    <t xml:space="preserve">    Other Financing</t>
  </si>
  <si>
    <t>CF_OTHER_FINANCING_ACT_EXCL_FX</t>
  </si>
  <si>
    <t>CF290</t>
  </si>
  <si>
    <t xml:space="preserve">  Cash Flow from Financing</t>
  </si>
  <si>
    <t>CB_CF_NET_CASH_FINANCING_ACT</t>
  </si>
  <si>
    <t>CF378</t>
  </si>
  <si>
    <t xml:space="preserve">    Net Change in Cash</t>
  </si>
  <si>
    <t>CF_NET_CHNG_CASH</t>
  </si>
  <si>
    <t>CF036</t>
  </si>
  <si>
    <t xml:space="preserve">      Cash &amp; Cash Equivalents (End of Period)</t>
  </si>
  <si>
    <t xml:space="preserve">      Cash &amp; Cash Equivalents (Beg of Period)</t>
  </si>
  <si>
    <t>CF_CASH_AND_CASH_EQUIV_BEG_BAL</t>
  </si>
  <si>
    <t>CF224</t>
  </si>
  <si>
    <t xml:space="preserve">    Book Value per Share</t>
  </si>
  <si>
    <t>HEADLINE_BVPS</t>
  </si>
  <si>
    <t>F1701</t>
  </si>
  <si>
    <t xml:space="preserve">    Free Cash Flow</t>
  </si>
  <si>
    <t>HEADLINE_FCF</t>
  </si>
  <si>
    <t>F1709</t>
  </si>
  <si>
    <t xml:space="preserve">      Free Cash Flow Margin (%)</t>
  </si>
  <si>
    <t>FREE_CASH_FLOW_MARGIN</t>
  </si>
  <si>
    <t>RX588</t>
  </si>
  <si>
    <t xml:space="preserve">      Free Cash Flow Per Share ($)</t>
  </si>
  <si>
    <t>FCF_PER_DIL_SHR</t>
  </si>
  <si>
    <t>RR228</t>
  </si>
  <si>
    <t xml:space="preserve">    Foreign Exchange Effects to Cash Flow</t>
  </si>
  <si>
    <t>CF_EFFECT_FOREIGN_EXCHANGES</t>
  </si>
  <si>
    <t>CF291</t>
  </si>
  <si>
    <t>Source: Bloomberg</t>
  </si>
  <si>
    <t xml:space="preserve">    Free Cash Flow Margin (%)</t>
  </si>
  <si>
    <t>RR022</t>
  </si>
  <si>
    <t>CASH_FLOW_PER_SH</t>
  </si>
  <si>
    <t xml:space="preserve">    Cash Flow per Share</t>
  </si>
  <si>
    <t xml:space="preserve">      Cash &amp; Cash Equivalents (EOP)</t>
  </si>
  <si>
    <t xml:space="preserve">      Cash &amp; Cash Equivalents (BOP)</t>
  </si>
  <si>
    <t xml:space="preserve">    Effect of Foreign Exchange Rates</t>
  </si>
  <si>
    <t xml:space="preserve">    Other Financing Cash Flows</t>
  </si>
  <si>
    <t>CF117</t>
  </si>
  <si>
    <t>CF_ISSUE_COM_STOCK</t>
  </si>
  <si>
    <t xml:space="preserve">    Proceeds from the Exercise of Stock Options</t>
  </si>
  <si>
    <t>CF031</t>
  </si>
  <si>
    <t>CF_DECR_CAP_STOCK</t>
  </si>
  <si>
    <t xml:space="preserve">    Decrease in Capital Stocks</t>
  </si>
  <si>
    <t>CF325</t>
  </si>
  <si>
    <t>CF_PYMT_LT_DEBT_AND_CAPITAL_LEASE</t>
  </si>
  <si>
    <t xml:space="preserve">    Decrease in Long-Term Borrowings</t>
  </si>
  <si>
    <t xml:space="preserve">    Increase in Long-Term Borrowings</t>
  </si>
  <si>
    <t>CF516</t>
  </si>
  <si>
    <t>CB_CF_DECREASE_IN_ST_BORROWINGS</t>
  </si>
  <si>
    <t xml:space="preserve">    Decrease in Short-Term Borrowings</t>
  </si>
  <si>
    <t>CF515</t>
  </si>
  <si>
    <t>CB_CF_INCREASE_IN_ST_BORROWINGS</t>
  </si>
  <si>
    <t xml:space="preserve">    Increase in Short-Term Borrowings</t>
  </si>
  <si>
    <t xml:space="preserve">    Other</t>
  </si>
  <si>
    <t xml:space="preserve">    Cash from Acquisitions</t>
  </si>
  <si>
    <t>CF449</t>
  </si>
  <si>
    <t>CF_PURCHSS_OF_INVSTMNTS</t>
  </si>
  <si>
    <t xml:space="preserve">    Purchases Of Investments</t>
  </si>
  <si>
    <t>CF450</t>
  </si>
  <si>
    <t>CF_PROCDS_FROM_INVSTMNTS</t>
  </si>
  <si>
    <t xml:space="preserve">    Proceeds From Investments</t>
  </si>
  <si>
    <t>CF322</t>
  </si>
  <si>
    <t>CF_DISPOSAL_OF_FIXED_PROD_ASSETS</t>
  </si>
  <si>
    <t xml:space="preserve">    Proceeds from Disposal of Assets</t>
  </si>
  <si>
    <t>CF437</t>
  </si>
  <si>
    <t>CF_CHANGE_IN_OTHR_LIBLTS</t>
  </si>
  <si>
    <t xml:space="preserve">      Other Liabilities</t>
  </si>
  <si>
    <t>CF436</t>
  </si>
  <si>
    <t>CF_CHANGE_IN_OTHR_ASSTS</t>
  </si>
  <si>
    <t xml:space="preserve">      Other Assets</t>
  </si>
  <si>
    <t>CF284</t>
  </si>
  <si>
    <t>CF_INC_DEC_IN_OT_OP_AST_LIAB</t>
  </si>
  <si>
    <t xml:space="preserve">      Accounts Payables &amp; Accrued Liabilities</t>
  </si>
  <si>
    <t xml:space="preserve">      Accounts Receivables</t>
  </si>
  <si>
    <t xml:space="preserve">    Change in Non-Cash Working Capital</t>
  </si>
  <si>
    <t>CF507</t>
  </si>
  <si>
    <t>CB_CF_GL_ON_DISPOSAL_ASSETS</t>
  </si>
  <si>
    <t xml:space="preserve">    Net Gain on Sale of Assets/Businesses</t>
  </si>
  <si>
    <t xml:space="preserve">    Stock Compensation Expense</t>
  </si>
  <si>
    <t>RR150</t>
  </si>
  <si>
    <t>WORKING_CAPITAL</t>
  </si>
  <si>
    <t xml:space="preserve">    Working Capital</t>
  </si>
  <si>
    <t xml:space="preserve">    Quick Ratio</t>
  </si>
  <si>
    <t xml:space="preserve">    Current Ratio</t>
  </si>
  <si>
    <t>F0837</t>
  </si>
  <si>
    <t>ANNUALIZED_DAYS_SALES_OUTSTDG</t>
  </si>
  <si>
    <t xml:space="preserve">    Return on Equity(%)</t>
  </si>
  <si>
    <t xml:space="preserve">    Return on Assets (%)</t>
  </si>
  <si>
    <t>RR208</t>
  </si>
  <si>
    <t>NET_DEBT</t>
  </si>
  <si>
    <t xml:space="preserve">    Net Debt (Cash)</t>
  </si>
  <si>
    <t>BS092</t>
  </si>
  <si>
    <t>BS_AMT_OF_TSY_STOCK</t>
  </si>
  <si>
    <t xml:space="preserve">      Treasury Stock</t>
  </si>
  <si>
    <t xml:space="preserve">      Accumulated Other Comprehensive Income</t>
  </si>
  <si>
    <t>BS064</t>
  </si>
  <si>
    <t>BS_SH_CAP_AND_APIC</t>
  </si>
  <si>
    <t xml:space="preserve">      Share Capital &amp; APIC</t>
  </si>
  <si>
    <t xml:space="preserve">    Total Shareholders' Equity</t>
  </si>
  <si>
    <t xml:space="preserve">      Non-Current Tax Liabilities</t>
  </si>
  <si>
    <t>BM080</t>
  </si>
  <si>
    <t>BS_DEFERRED_TAX_LIABILITIES_LT</t>
  </si>
  <si>
    <t xml:space="preserve">      Deferred Tax Liabilities</t>
  </si>
  <si>
    <t>BS897</t>
  </si>
  <si>
    <t>PENSION_LIABILITIES</t>
  </si>
  <si>
    <t xml:space="preserve">      Pension &amp; Other Post Retirement Liabilities</t>
  </si>
  <si>
    <t xml:space="preserve">      Long-Term Borrowings</t>
  </si>
  <si>
    <t>BS814</t>
  </si>
  <si>
    <t>BS_ADJ_TOTAL_LT_LIABILITIES</t>
  </si>
  <si>
    <t xml:space="preserve">      Other Current Liabilities</t>
  </si>
  <si>
    <t>BL263</t>
  </si>
  <si>
    <t>BS_SHORTTERM_ACCRUD_EXPNSS</t>
  </si>
  <si>
    <t xml:space="preserve">      Accrued Expenses</t>
  </si>
  <si>
    <t>BL300</t>
  </si>
  <si>
    <t>BS_NOTES_PAYABLE_SHORTTERM</t>
  </si>
  <si>
    <t xml:space="preserve">      Loans &amp; Notes Payable</t>
  </si>
  <si>
    <t>BS052</t>
  </si>
  <si>
    <t>BS_OTHER_LT_LIABILITIES</t>
  </si>
  <si>
    <t xml:space="preserve">      Other Long-Term Assets</t>
  </si>
  <si>
    <t xml:space="preserve">      Deferred Tax Assets</t>
  </si>
  <si>
    <t xml:space="preserve">      Goodwill</t>
  </si>
  <si>
    <t xml:space="preserve">      Other Intangible Assets</t>
  </si>
  <si>
    <t>BS120</t>
  </si>
  <si>
    <t>BS_OTHER_CUR_ASSET_LESS_PREPAY</t>
  </si>
  <si>
    <t xml:space="preserve">      Short-Term Investments</t>
  </si>
  <si>
    <t xml:space="preserve">      Cash, Cash Equivalents &amp; Short-Term Investments</t>
  </si>
  <si>
    <t>IM185</t>
  </si>
  <si>
    <t>IS_ACQUIRED_IN_PROCESS_R_AND_D</t>
  </si>
  <si>
    <t xml:space="preserve">    Acquired In-Process R&amp;D</t>
  </si>
  <si>
    <t xml:space="preserve">  Company-Specific Adjustments</t>
  </si>
  <si>
    <t xml:space="preserve">      Net Income Margin (%)</t>
  </si>
  <si>
    <t>RR037</t>
  </si>
  <si>
    <t>EFF_TAX_RATE</t>
  </si>
  <si>
    <t xml:space="preserve">      Tax Rate (%)</t>
  </si>
  <si>
    <t>IC235</t>
  </si>
  <si>
    <t>CB_IS_SELLING_GENERAL_AND_ADMIN</t>
  </si>
  <si>
    <t>RR295</t>
  </si>
  <si>
    <t>RD_EXPEND_TO_NET_SALES</t>
  </si>
  <si>
    <t xml:space="preserve">        As % of Sales</t>
  </si>
  <si>
    <t xml:space="preserve">    Cost of Revenue</t>
  </si>
  <si>
    <t xml:space="preserve">  Dividend per Share</t>
  </si>
  <si>
    <t>IS062</t>
  </si>
  <si>
    <t>IS_SH_FOR_DILUTED_EPS</t>
  </si>
  <si>
    <t xml:space="preserve">    Net Income Margin (%)</t>
  </si>
  <si>
    <t>RX616</t>
  </si>
  <si>
    <t>ADJUSTED_PTP_MARGIN_AS_REPORTED</t>
  </si>
  <si>
    <t xml:space="preserve">    Pre-Tax Margin (%)</t>
  </si>
  <si>
    <t>IM745</t>
  </si>
  <si>
    <t>CB_IS_ADJ_NONOP_INC_EXPN</t>
  </si>
  <si>
    <t xml:space="preserve">  Non-Operating (Income) Expenses</t>
  </si>
  <si>
    <t>IS011</t>
  </si>
  <si>
    <t>IS_INT_INC</t>
  </si>
  <si>
    <t xml:space="preserve">  Interest Income</t>
  </si>
  <si>
    <t>IS034</t>
  </si>
  <si>
    <t>IS_INT_EXPENSE</t>
  </si>
  <si>
    <t xml:space="preserve">  Interest Expense</t>
  </si>
  <si>
    <t>IS325</t>
  </si>
  <si>
    <t>IS_NET_INTEREST_EXPENSE</t>
  </si>
  <si>
    <t xml:space="preserve">  Net Interest Expense</t>
  </si>
  <si>
    <t>IS070</t>
  </si>
  <si>
    <t>IS_DEPR_EXP</t>
  </si>
  <si>
    <t>RX609</t>
  </si>
  <si>
    <t>ADJ_OPERATING_MARGIN</t>
  </si>
  <si>
    <t xml:space="preserve">    As % of Revenue</t>
  </si>
  <si>
    <t xml:space="preserve">  Selling, General, &amp; Administrative</t>
  </si>
  <si>
    <t xml:space="preserve">  Research &amp; Development</t>
  </si>
  <si>
    <t xml:space="preserve">  Cost of Revenue</t>
  </si>
  <si>
    <t>IM420</t>
  </si>
  <si>
    <t>IS_S_AND_SR_GAAP</t>
  </si>
  <si>
    <t xml:space="preserve">    Sales &amp; Services Revenue</t>
  </si>
  <si>
    <t xml:space="preserve">    YoY Growth (%) ex-FX</t>
  </si>
  <si>
    <t>SEG0000336774 Segment</t>
  </si>
  <si>
    <t xml:space="preserve">            Wound Care &amp; Other</t>
  </si>
  <si>
    <t>SEG0000336705 Segment</t>
  </si>
  <si>
    <t xml:space="preserve">            Women’s Health</t>
  </si>
  <si>
    <t>SEG0000336473 Segment</t>
  </si>
  <si>
    <t xml:space="preserve">            Baby Care</t>
  </si>
  <si>
    <t>SEG0000336568 Segment</t>
  </si>
  <si>
    <t xml:space="preserve">            Oral Care</t>
  </si>
  <si>
    <t>SEG0000336678 Segment</t>
  </si>
  <si>
    <t xml:space="preserve">            Skin Health/Beauty</t>
  </si>
  <si>
    <t>SEG0000336512 Segment</t>
  </si>
  <si>
    <t xml:space="preserve">            OTC</t>
  </si>
  <si>
    <t>SEG0000336434 Segment</t>
  </si>
  <si>
    <t xml:space="preserve">          Consumer</t>
  </si>
  <si>
    <t>SEG0000336755 Segment</t>
  </si>
  <si>
    <t xml:space="preserve">          Invokana/Invokamet</t>
  </si>
  <si>
    <t>SEG0000336499 Segment</t>
  </si>
  <si>
    <t xml:space="preserve">          Risperdal Consta</t>
  </si>
  <si>
    <t>SEG0000336481 Segment</t>
  </si>
  <si>
    <t xml:space="preserve">          Velcade</t>
  </si>
  <si>
    <t>SEG0000336426 Segment</t>
  </si>
  <si>
    <t xml:space="preserve">          Procrit/Eprex</t>
  </si>
  <si>
    <t xml:space="preserve">        United States</t>
  </si>
  <si>
    <t>SEG0000336428 Segment</t>
  </si>
  <si>
    <t>SEG0000336780 Segment</t>
  </si>
  <si>
    <t>SEG0000336805 Segment</t>
  </si>
  <si>
    <t>SEG0000336432 Segment</t>
  </si>
  <si>
    <t>SEG0000336792 Segment</t>
  </si>
  <si>
    <t>SEG0000336814 Segment</t>
  </si>
  <si>
    <t>SEG0000336756 Segment</t>
  </si>
  <si>
    <t>SEG0000336646 Segment</t>
  </si>
  <si>
    <t xml:space="preserve">          Specialty</t>
  </si>
  <si>
    <t>SEG0000336560 Segment</t>
  </si>
  <si>
    <t>SEG0000336559 Segment</t>
  </si>
  <si>
    <t>SEG0000336628 Segment</t>
  </si>
  <si>
    <t>SEG0000336681 Segment</t>
  </si>
  <si>
    <t xml:space="preserve">          Tracleer</t>
  </si>
  <si>
    <t>SEG0000336520 Segment</t>
  </si>
  <si>
    <t xml:space="preserve">        International</t>
  </si>
  <si>
    <t>SEG0000336777 Segment</t>
  </si>
  <si>
    <t xml:space="preserve">            Vision Care</t>
  </si>
  <si>
    <t>SEG0000336525 Segment</t>
  </si>
  <si>
    <t xml:space="preserve">            Surgery</t>
  </si>
  <si>
    <t>SEG0000336412 Segment</t>
  </si>
  <si>
    <t xml:space="preserve">            Orthopaedics</t>
  </si>
  <si>
    <t>SEG0000336638 Segment</t>
  </si>
  <si>
    <t xml:space="preserve">            Cardiovascular</t>
  </si>
  <si>
    <t>SEG0000336556 Segment</t>
  </si>
  <si>
    <t xml:space="preserve">          MedTech</t>
  </si>
  <si>
    <t>SEG0000336680 Segment</t>
  </si>
  <si>
    <t xml:space="preserve">            Cardiovascular / Metabolism / Other</t>
  </si>
  <si>
    <t>SEG0000336711 Segment</t>
  </si>
  <si>
    <t xml:space="preserve">            Pulmonary Hypertension</t>
  </si>
  <si>
    <t>SEG0000336767 Segment</t>
  </si>
  <si>
    <t xml:space="preserve">            Oncology</t>
  </si>
  <si>
    <t>SEG0000336519 Segment</t>
  </si>
  <si>
    <t xml:space="preserve">            Neuroscience</t>
  </si>
  <si>
    <t>SEG0000336762 Segment</t>
  </si>
  <si>
    <t xml:space="preserve">            Infectious Diseases</t>
  </si>
  <si>
    <t>SEG0000336582 Segment</t>
  </si>
  <si>
    <t xml:space="preserve">            Immunology</t>
  </si>
  <si>
    <t>SEG0000336482 Segment</t>
  </si>
  <si>
    <t xml:space="preserve">          Innovative Medicine</t>
  </si>
  <si>
    <t>SEG0000336518 Segment</t>
  </si>
  <si>
    <t>SEG0000336731 Segment</t>
  </si>
  <si>
    <t>SEG0000336779 Segment</t>
  </si>
  <si>
    <t>SEG0000336445 Segment</t>
  </si>
  <si>
    <t>SEG0000336438 Segment</t>
  </si>
  <si>
    <t>SEG0000336619 Segment</t>
  </si>
  <si>
    <t>SEG0000336463 Segment</t>
  </si>
  <si>
    <t>SEG0000336419 Segment</t>
  </si>
  <si>
    <t>SEG0000336554 Segment</t>
  </si>
  <si>
    <t>SEG0000336601 Segment</t>
  </si>
  <si>
    <t>SEG0000336592 Segment</t>
  </si>
  <si>
    <t>SEG0000336502 Segment</t>
  </si>
  <si>
    <t>SEG0000336702 Segment</t>
  </si>
  <si>
    <t>SEG0000336659 Segment</t>
  </si>
  <si>
    <t>SEG0000336783 Segment</t>
  </si>
  <si>
    <t xml:space="preserve">        Revenue</t>
  </si>
  <si>
    <t>M7355</t>
  </si>
  <si>
    <t>GROSS_PER_COURSE_PX</t>
  </si>
  <si>
    <t xml:space="preserve">        Gross Price / Treatment</t>
  </si>
  <si>
    <t>SEG1588895687 Segment</t>
  </si>
  <si>
    <t>M6044</t>
  </si>
  <si>
    <t>PENETRATION_RATE_PCT</t>
  </si>
  <si>
    <t xml:space="preserve">        Market Share (%) - 3L</t>
  </si>
  <si>
    <t>M5908</t>
  </si>
  <si>
    <t>NUMBER_OF_PATIENTS</t>
  </si>
  <si>
    <t xml:space="preserve">        Number of Treated Patients - 3L</t>
  </si>
  <si>
    <t>SEG6699993028 Segment</t>
  </si>
  <si>
    <t xml:space="preserve">        Market Share (%) - 2L</t>
  </si>
  <si>
    <t xml:space="preserve">        Number of Treated Patients - 2L</t>
  </si>
  <si>
    <t>SEG3033408961 Segment</t>
  </si>
  <si>
    <t xml:space="preserve">        Market Share (%) - Transplant-ineligible Patients</t>
  </si>
  <si>
    <t xml:space="preserve">        Number of Treated Patients - 1L MM Transplant-ineligible</t>
  </si>
  <si>
    <t>SEG8144506302 Segment</t>
  </si>
  <si>
    <t xml:space="preserve">        Market Share (%) - Transplant-Eligible Patients</t>
  </si>
  <si>
    <t xml:space="preserve">        Number of Treated Patients - 1L MM Treatment Eligible</t>
  </si>
  <si>
    <t xml:space="preserve">      Darzalex</t>
  </si>
  <si>
    <t>SEG9366700991 Segment</t>
  </si>
  <si>
    <t>BS688</t>
  </si>
  <si>
    <t>BS_POPULATION</t>
  </si>
  <si>
    <t xml:space="preserve">        3L MM Eligible Patients</t>
  </si>
  <si>
    <t xml:space="preserve">      3L</t>
  </si>
  <si>
    <t>SEG5477798339 Segment</t>
  </si>
  <si>
    <t xml:space="preserve">        2L MM Eligible Patients</t>
  </si>
  <si>
    <t xml:space="preserve">      2L</t>
  </si>
  <si>
    <t xml:space="preserve">        Therapy-Treated Patients Transplant-ineligible</t>
  </si>
  <si>
    <t xml:space="preserve">        Therapy-Treated Patients Transplant-Eligible</t>
  </si>
  <si>
    <t>SEG1811214272 Segment</t>
  </si>
  <si>
    <t xml:space="preserve">        1L MM Therapy Treated Patients</t>
  </si>
  <si>
    <t xml:space="preserve">      1L</t>
  </si>
  <si>
    <t xml:space="preserve">    United States</t>
  </si>
  <si>
    <t xml:space="preserve">  Multiple Myeloma (MM)</t>
  </si>
  <si>
    <t>SEG5609948976 Segment</t>
  </si>
  <si>
    <t>M5501</t>
  </si>
  <si>
    <t>COST_PER_TREATMENT</t>
  </si>
  <si>
    <t xml:space="preserve">        Net Annual Price</t>
  </si>
  <si>
    <t>SI865</t>
  </si>
  <si>
    <t>AVG_DISCOUNT_RATE</t>
  </si>
  <si>
    <t xml:space="preserve">        Discount (%)</t>
  </si>
  <si>
    <t>M7349</t>
  </si>
  <si>
    <t>GROSS_SALES_PX</t>
  </si>
  <si>
    <t xml:space="preserve">        Gross Annual Price</t>
  </si>
  <si>
    <t xml:space="preserve">        Market Share (%)</t>
  </si>
  <si>
    <t xml:space="preserve">        Number of Compliant Patients</t>
  </si>
  <si>
    <t xml:space="preserve">      Tremfya</t>
  </si>
  <si>
    <t>SEG6609825080 Segment</t>
  </si>
  <si>
    <t xml:space="preserve">      Stelara</t>
  </si>
  <si>
    <t>SEG8781355518 Segment</t>
  </si>
  <si>
    <t xml:space="preserve">      Addressable CD Patients</t>
  </si>
  <si>
    <t>SEG4892452866 Segment</t>
  </si>
  <si>
    <t xml:space="preserve">      Mod-to-Sev Treated Patients w/ Biologic</t>
  </si>
  <si>
    <t>SEG1003550214 Segment</t>
  </si>
  <si>
    <t xml:space="preserve">      Mod-to-Sev Treated Patients</t>
  </si>
  <si>
    <t>SEG2225744903 Segment</t>
  </si>
  <si>
    <t xml:space="preserve">      Mod-to-Sev Patients</t>
  </si>
  <si>
    <t xml:space="preserve">  Crohn's Disease (CD)</t>
  </si>
  <si>
    <t>SEG6832143665 Segment</t>
  </si>
  <si>
    <t>SEG2720922428 Segment</t>
  </si>
  <si>
    <t xml:space="preserve">        Number of Compliant Treated Patients</t>
  </si>
  <si>
    <t>SEG7336842244 Segment</t>
  </si>
  <si>
    <t xml:space="preserve">      Addressable UC Patients</t>
  </si>
  <si>
    <t>SEG3447939592 Segment</t>
  </si>
  <si>
    <t xml:space="preserve">      Treated Mod-to-Sev UC Patients w/ Biologic</t>
  </si>
  <si>
    <t>SEG8559036933 Segment</t>
  </si>
  <si>
    <t xml:space="preserve">      Mod-to-Sev UC Patients</t>
  </si>
  <si>
    <t xml:space="preserve">  Ulcerative Colitis (UC)</t>
  </si>
  <si>
    <t>SEG2943241013 Segment</t>
  </si>
  <si>
    <t>SEG7832019769 Segment</t>
  </si>
  <si>
    <t>SEG4670134281 Segment</t>
  </si>
  <si>
    <t xml:space="preserve">      Treated Mod-to-Sev PsO Patients w/ Biologic</t>
  </si>
  <si>
    <t>SEG9781231622 Segment</t>
  </si>
  <si>
    <t xml:space="preserve">      Treated Mod-to-Sev PsO Patients</t>
  </si>
  <si>
    <t>SEG5892328970 Segment</t>
  </si>
  <si>
    <t xml:space="preserve">      Moderate-to-Severe PsO Patients</t>
  </si>
  <si>
    <t xml:space="preserve">  Psoriasis (PsO)</t>
  </si>
  <si>
    <t xml:space="preserve">  Industry Metrics</t>
  </si>
  <si>
    <t>SEG0000458538 Segment</t>
  </si>
  <si>
    <t xml:space="preserve">        C19 Vac International</t>
  </si>
  <si>
    <t>SEG0000458537 Segment</t>
  </si>
  <si>
    <t xml:space="preserve">        C19 Vac U.S.</t>
  </si>
  <si>
    <t>SEG0000458535 Segment</t>
  </si>
  <si>
    <t xml:space="preserve">      Covid-19 Vaccine</t>
  </si>
  <si>
    <t>SEG0000336596 Segment</t>
  </si>
  <si>
    <t xml:space="preserve">      Risperdal Consta</t>
  </si>
  <si>
    <t>SEG0000336522 Segment</t>
  </si>
  <si>
    <t xml:space="preserve">      Invokana/Invokamet</t>
  </si>
  <si>
    <t xml:space="preserve">  Previous Disclosure</t>
  </si>
  <si>
    <t>SEG0000336484 Segment</t>
  </si>
  <si>
    <t xml:space="preserve">        Currencies (%)</t>
  </si>
  <si>
    <t xml:space="preserve">      Wound Care &amp; Other</t>
  </si>
  <si>
    <t>SEG0000336706 Segment</t>
  </si>
  <si>
    <t xml:space="preserve">      Women’s Health</t>
  </si>
  <si>
    <t>SEG0000336532 Segment</t>
  </si>
  <si>
    <t xml:space="preserve">      Baby Care</t>
  </si>
  <si>
    <t>SEG0000336460 Segment</t>
  </si>
  <si>
    <t xml:space="preserve">      Oral Care</t>
  </si>
  <si>
    <t>SEG0000336787 Segment</t>
  </si>
  <si>
    <t xml:space="preserve">      Skin Health / Beauty</t>
  </si>
  <si>
    <t>SEG0000336449 Segment</t>
  </si>
  <si>
    <t xml:space="preserve">      OTC</t>
  </si>
  <si>
    <t>SEG0000336808 Segment</t>
  </si>
  <si>
    <t xml:space="preserve">      Currencies (%)</t>
  </si>
  <si>
    <t xml:space="preserve">    Consumer</t>
  </si>
  <si>
    <t xml:space="preserve">  Discontinued Operations</t>
  </si>
  <si>
    <t>SEG3409420978 Segment</t>
  </si>
  <si>
    <t xml:space="preserve">      ITI-1284</t>
  </si>
  <si>
    <t>SEG4631615667 Segment</t>
  </si>
  <si>
    <t xml:space="preserve">      JNJ-4804</t>
  </si>
  <si>
    <t>SEG1903909594 Segment</t>
  </si>
  <si>
    <t xml:space="preserve">      Erdafitinib (Erda-iDRS / TAR-210)</t>
  </si>
  <si>
    <t>SEG0001089802 Segment</t>
  </si>
  <si>
    <t xml:space="preserve">      Seltorexant</t>
  </si>
  <si>
    <t>SEG0000984441 Segment</t>
  </si>
  <si>
    <t xml:space="preserve">      AAV-RPGR</t>
  </si>
  <si>
    <t>SEG0000863932 Segment</t>
  </si>
  <si>
    <t xml:space="preserve">      Milvexian</t>
  </si>
  <si>
    <t xml:space="preserve">  Pipeline (Phase II/III/Registration)</t>
  </si>
  <si>
    <t>SEG0001549477 Segment</t>
  </si>
  <si>
    <t xml:space="preserve">      Lazcluze (Lazertinib)</t>
  </si>
  <si>
    <t>SEG9952864261 Segment</t>
  </si>
  <si>
    <t>SEG6063961609 Segment</t>
  </si>
  <si>
    <t>SEG0001448606 Segment</t>
  </si>
  <si>
    <t xml:space="preserve">      Akeega (Niraparib)</t>
  </si>
  <si>
    <t>SEG0000982486 Segment</t>
  </si>
  <si>
    <t xml:space="preserve">      Inlexzo (TAR-200)</t>
  </si>
  <si>
    <t>SEG0000461880 Segment</t>
  </si>
  <si>
    <t xml:space="preserve">      Imaavy (Nipocalimab)</t>
  </si>
  <si>
    <t>SEG0000984424 Segment</t>
  </si>
  <si>
    <t xml:space="preserve">      Icotyde (Icotrokinra)</t>
  </si>
  <si>
    <t xml:space="preserve">  Approved Drugs</t>
  </si>
  <si>
    <t>SEG0000336785 Segment</t>
  </si>
  <si>
    <t>SEG0000336692 Segment</t>
  </si>
  <si>
    <t xml:space="preserve">      U.S.</t>
  </si>
  <si>
    <t>SEG0000336436 Segment</t>
  </si>
  <si>
    <t xml:space="preserve">    Surgical</t>
  </si>
  <si>
    <t>SEG0000336564 Segment</t>
  </si>
  <si>
    <t>SEG0000336549 Segment</t>
  </si>
  <si>
    <t>SEG0000336798 Segment</t>
  </si>
  <si>
    <t xml:space="preserve">    Contact Lenses/Other</t>
  </si>
  <si>
    <t>SEG0000336684 Segment</t>
  </si>
  <si>
    <t xml:space="preserve">  Vision Care</t>
  </si>
  <si>
    <t>SEG0000336748 Segment</t>
  </si>
  <si>
    <t>SEG0000336654 Segment</t>
  </si>
  <si>
    <t>SEG0000336813 Segment</t>
  </si>
  <si>
    <t xml:space="preserve">    General</t>
  </si>
  <si>
    <t>SEG0000336618 Segment</t>
  </si>
  <si>
    <t>SEG0000336531 Segment</t>
  </si>
  <si>
    <t>SEG0000336694 Segment</t>
  </si>
  <si>
    <t xml:space="preserve">    Advanced</t>
  </si>
  <si>
    <t>SEG0000336527 Segment</t>
  </si>
  <si>
    <t xml:space="preserve">  Surgery</t>
  </si>
  <si>
    <t>SEG0000336772 Segment</t>
  </si>
  <si>
    <t>SEG0000336591 Segment</t>
  </si>
  <si>
    <t>SEG0000336764 Segment</t>
  </si>
  <si>
    <t xml:space="preserve">    Spine, Sports &amp; Other</t>
  </si>
  <si>
    <t>SEG0000336782 Segment</t>
  </si>
  <si>
    <t>SEG0000336544 Segment</t>
  </si>
  <si>
    <t>SEG0000336415 Segment</t>
  </si>
  <si>
    <t xml:space="preserve">    Trauma</t>
  </si>
  <si>
    <t>SEG0000336745 Segment</t>
  </si>
  <si>
    <t>SEG0000336575 Segment</t>
  </si>
  <si>
    <t>SEG0000336505 Segment</t>
  </si>
  <si>
    <t xml:space="preserve">    Knees</t>
  </si>
  <si>
    <t>SEG0000336617 Segment</t>
  </si>
  <si>
    <t>SEG0000336495 Segment</t>
  </si>
  <si>
    <t>SEG0000336462 Segment</t>
  </si>
  <si>
    <t xml:space="preserve">    Hips</t>
  </si>
  <si>
    <t>SEG0000336430 Segment</t>
  </si>
  <si>
    <t>SEG0001304415 Segment</t>
  </si>
  <si>
    <t>SEG0001304414 Segment</t>
  </si>
  <si>
    <t>SEG0001304413 Segment</t>
  </si>
  <si>
    <t xml:space="preserve">    Other Cardiovascular</t>
  </si>
  <si>
    <t>SEG7326113916 Segment</t>
  </si>
  <si>
    <t>SEG3437211264 Segment</t>
  </si>
  <si>
    <t>SEG8548308605 Segment</t>
  </si>
  <si>
    <t xml:space="preserve">    Shockwave</t>
  </si>
  <si>
    <t>SEG0001304412 Segment</t>
  </si>
  <si>
    <t>SEG0001304411 Segment</t>
  </si>
  <si>
    <t>SEG0001304410 Segment</t>
  </si>
  <si>
    <t xml:space="preserve">    Abiomed</t>
  </si>
  <si>
    <t>SEG0001304408 Segment</t>
  </si>
  <si>
    <t>SEG0001304392 Segment</t>
  </si>
  <si>
    <t>SEG0001304391 Segment</t>
  </si>
  <si>
    <t xml:space="preserve">    Electrophysiology</t>
  </si>
  <si>
    <t>SEG0000336471 Segment</t>
  </si>
  <si>
    <t xml:space="preserve">  Cardiovascular</t>
  </si>
  <si>
    <t xml:space="preserve">  MedTech</t>
  </si>
  <si>
    <t>SEG0000336588 Segment</t>
  </si>
  <si>
    <t>SEG0000336730 Segment</t>
  </si>
  <si>
    <t>SEG0000336468 Segment</t>
  </si>
  <si>
    <t xml:space="preserve">    Other Pharmaceuticals</t>
  </si>
  <si>
    <t>SEG0000336474 Segment</t>
  </si>
  <si>
    <t>SEG0000336547 Segment</t>
  </si>
  <si>
    <t>SEG0000336576 Segment</t>
  </si>
  <si>
    <t xml:space="preserve">    Xarelto</t>
  </si>
  <si>
    <t>SEG0000336627 Segment</t>
  </si>
  <si>
    <t xml:space="preserve">  Cardiovascular / Metabolism / Other</t>
  </si>
  <si>
    <t>SEG0000336715 Segment</t>
  </si>
  <si>
    <t>SEG0000336614 Segment</t>
  </si>
  <si>
    <t>SEG0000336435 Segment</t>
  </si>
  <si>
    <t xml:space="preserve">    Other Pulmonary Hypertension</t>
  </si>
  <si>
    <t>SEG0000336775 Segment</t>
  </si>
  <si>
    <t>SEG0000336672 Segment</t>
  </si>
  <si>
    <t>SEG0000336405 Segment</t>
  </si>
  <si>
    <t xml:space="preserve">    Uptravi</t>
  </si>
  <si>
    <t>SEG0000336801 Segment</t>
  </si>
  <si>
    <t>SEG0000336800 Segment</t>
  </si>
  <si>
    <t>SEG0000336686 Segment</t>
  </si>
  <si>
    <t xml:space="preserve">    Opsumit</t>
  </si>
  <si>
    <t>SEG0000336749 Segment</t>
  </si>
  <si>
    <t xml:space="preserve">  Pulmonary Hypertension</t>
  </si>
  <si>
    <t>SEG0000336418 Segment</t>
  </si>
  <si>
    <t>SEG0000336640 Segment</t>
  </si>
  <si>
    <t>SEG0000336776 Segment</t>
  </si>
  <si>
    <t xml:space="preserve">    Other Oncology</t>
  </si>
  <si>
    <t>SEG0000336660 Segment</t>
  </si>
  <si>
    <t>SEG0000336528 Segment</t>
  </si>
  <si>
    <t>SEG0000336424 Segment</t>
  </si>
  <si>
    <t xml:space="preserve">    Zytiga</t>
  </si>
  <si>
    <t>SEG6396881958 Segment</t>
  </si>
  <si>
    <t>SEG2507979306 Segment</t>
  </si>
  <si>
    <t>SEG0000662377 Segment</t>
  </si>
  <si>
    <t xml:space="preserve">    Tecvayli (Teclistamab)</t>
  </si>
  <si>
    <t>SEG3397253646 Segment</t>
  </si>
  <si>
    <t>SEG8508350987 Segment</t>
  </si>
  <si>
    <t>SEG0000461849 Segment</t>
  </si>
  <si>
    <t xml:space="preserve">    Talvey (Talquetamab)</t>
  </si>
  <si>
    <t>SEG5653100096 Segment</t>
  </si>
  <si>
    <t>SEG1764197444 Segment</t>
  </si>
  <si>
    <t>SEG0001470832 Segment</t>
  </si>
  <si>
    <t xml:space="preserve">    Rybrevant / Lazcluze</t>
  </si>
  <si>
    <t>SEG0000336447 Segment</t>
  </si>
  <si>
    <t>SEG0000336781 Segment</t>
  </si>
  <si>
    <t>SEG0000336546 Segment</t>
  </si>
  <si>
    <t xml:space="preserve">    Imbruvica</t>
  </si>
  <si>
    <t>SEG0000387624 Segment</t>
  </si>
  <si>
    <t>SEG0000387622 Segment</t>
  </si>
  <si>
    <t>SEG0000387621 Segment</t>
  </si>
  <si>
    <t xml:space="preserve">    Erleada</t>
  </si>
  <si>
    <t>SEG0000336595 Segment</t>
  </si>
  <si>
    <t>SEG0000336459 Segment</t>
  </si>
  <si>
    <t xml:space="preserve">    Darzalex</t>
  </si>
  <si>
    <t>SEG0001285884 Segment</t>
  </si>
  <si>
    <t>SEG0001285883 Segment</t>
  </si>
  <si>
    <t>SEG0000863947 Segment</t>
  </si>
  <si>
    <t xml:space="preserve">    Carvykti (Citra-Cel)</t>
  </si>
  <si>
    <t>SEG0000336666 Segment</t>
  </si>
  <si>
    <t xml:space="preserve">  Oncology</t>
  </si>
  <si>
    <t>SEG0000336733 Segment</t>
  </si>
  <si>
    <t>SEG0000336600 Segment</t>
  </si>
  <si>
    <t>SEG0000336516 Segment</t>
  </si>
  <si>
    <t xml:space="preserve">    Other Neuroscience</t>
  </si>
  <si>
    <t>SEG0001304390 Segment</t>
  </si>
  <si>
    <t>SEG0001304389 Segment</t>
  </si>
  <si>
    <t>SEG0001304378 Segment</t>
  </si>
  <si>
    <t xml:space="preserve">    Spravato</t>
  </si>
  <si>
    <t>SEG0000336553 Segment</t>
  </si>
  <si>
    <t>SEG0000336427 Segment</t>
  </si>
  <si>
    <t>SEG0000336548 Segment</t>
  </si>
  <si>
    <t xml:space="preserve">    Invega Sustenna</t>
  </si>
  <si>
    <t>SEG0000336539 Segment</t>
  </si>
  <si>
    <t>SEG0000336671 Segment</t>
  </si>
  <si>
    <t>SEG0000336526 Segment</t>
  </si>
  <si>
    <t xml:space="preserve">    Concerta/Methylphenidate</t>
  </si>
  <si>
    <t>SEG3822143737 Segment</t>
  </si>
  <si>
    <t>SEG8710922493 Segment</t>
  </si>
  <si>
    <t>SEG4822019841 Segment</t>
  </si>
  <si>
    <t xml:space="preserve">    Caplyta</t>
  </si>
  <si>
    <t>SEG0000336458 Segment</t>
  </si>
  <si>
    <t xml:space="preserve">  Neuroscience</t>
  </si>
  <si>
    <t>SEG0000336815 Segment</t>
  </si>
  <si>
    <t>SEG0000336584 Segment</t>
  </si>
  <si>
    <t>SEG0000336507 Segment</t>
  </si>
  <si>
    <t xml:space="preserve">    Other Infectious Diseases</t>
  </si>
  <si>
    <t>SEG0000336796 Segment</t>
  </si>
  <si>
    <t>SEG0000336770 Segment</t>
  </si>
  <si>
    <t>SEG0000336422 Segment</t>
  </si>
  <si>
    <t xml:space="preserve">    Prezista</t>
  </si>
  <si>
    <t>SEG0000336593 Segment</t>
  </si>
  <si>
    <t>SEG0000336643 Segment</t>
  </si>
  <si>
    <t>SEG0000336765 Segment</t>
  </si>
  <si>
    <t xml:space="preserve">    Edurant</t>
  </si>
  <si>
    <t>SEG0000336727 Segment</t>
  </si>
  <si>
    <t xml:space="preserve">  Infectious Diseases</t>
  </si>
  <si>
    <t>SEG0000336750 Segment</t>
  </si>
  <si>
    <t>SEG0000336483 Segment</t>
  </si>
  <si>
    <t>SEG0000336662 Segment</t>
  </si>
  <si>
    <t xml:space="preserve">    Other Immunology</t>
  </si>
  <si>
    <t>SEG0000336797 Segment</t>
  </si>
  <si>
    <t xml:space="preserve">        CD</t>
  </si>
  <si>
    <t xml:space="preserve">        UC</t>
  </si>
  <si>
    <t xml:space="preserve">        PsO/PsA</t>
  </si>
  <si>
    <t>SEG0000336467 Segment</t>
  </si>
  <si>
    <t>SEG0000336538 Segment</t>
  </si>
  <si>
    <t xml:space="preserve">    Tremfya</t>
  </si>
  <si>
    <t>SEG0000336450 Segment</t>
  </si>
  <si>
    <t>SEG0000336658 Segment</t>
  </si>
  <si>
    <t>SEG0000336802 Segment</t>
  </si>
  <si>
    <t xml:space="preserve">    Stelara</t>
  </si>
  <si>
    <t>SEG0000336540 Segment</t>
  </si>
  <si>
    <t>SEG0000336639 Segment</t>
  </si>
  <si>
    <t>SEG0000336550 Segment</t>
  </si>
  <si>
    <t xml:space="preserve">    Simponi/Simponi Aria</t>
  </si>
  <si>
    <t>SEG0000374470 Segment</t>
  </si>
  <si>
    <t xml:space="preserve">    Remicade Export</t>
  </si>
  <si>
    <t>SEG0000336698 Segment</t>
  </si>
  <si>
    <t>SEG0000336585 Segment</t>
  </si>
  <si>
    <t>SEG0000336784 Segment</t>
  </si>
  <si>
    <t xml:space="preserve">    Remicade</t>
  </si>
  <si>
    <t>SEG0000336431 Segment</t>
  </si>
  <si>
    <t xml:space="preserve">  Immunology</t>
  </si>
  <si>
    <t xml:space="preserve">  Innovative Medicine</t>
  </si>
  <si>
    <t>SEG0000336757 Segment</t>
  </si>
  <si>
    <t xml:space="preserve">    MedTech</t>
  </si>
  <si>
    <t>SEG0000336691 Segment</t>
  </si>
  <si>
    <t xml:space="preserve">    Innovative Medicine</t>
  </si>
  <si>
    <t xml:space="preserve">  Adjusted Pre-Tax Income</t>
  </si>
  <si>
    <t xml:space="preserve">  Adjusted Selling, General, &amp; Administrative</t>
  </si>
  <si>
    <t xml:space="preserve">  Adjusted Research &amp; Development</t>
  </si>
  <si>
    <t xml:space="preserve">      Zytiga</t>
  </si>
  <si>
    <t xml:space="preserve">      Talvey (talquetamab)</t>
  </si>
  <si>
    <t xml:space="preserve">      Tecvayli (teclistamab-cqyv)</t>
  </si>
  <si>
    <t xml:space="preserve">      Caplyta</t>
  </si>
  <si>
    <t xml:space="preserve">      Uptravi</t>
  </si>
  <si>
    <t xml:space="preserve">      Opsumit</t>
  </si>
  <si>
    <t xml:space="preserve">      Remicade</t>
  </si>
  <si>
    <t xml:space="preserve">      Xarelto</t>
  </si>
  <si>
    <t xml:space="preserve">      Imbruvica</t>
  </si>
  <si>
    <t xml:space="preserve">      Simponi</t>
  </si>
  <si>
    <t xml:space="preserve">      Rybrevant + Lazcluze</t>
  </si>
  <si>
    <t xml:space="preserve">      Spravato</t>
  </si>
  <si>
    <t xml:space="preserve">      Carvykti</t>
  </si>
  <si>
    <t xml:space="preserve">      Invega Sustenna</t>
  </si>
  <si>
    <t xml:space="preserve">      Erleada</t>
  </si>
  <si>
    <t xml:space="preserve">  Segment Revenue</t>
  </si>
  <si>
    <t>JNJ US Equity    Periodicity:A    Currency:USD    Estimate Source:BST    Actual Source:Bloomberg</t>
  </si>
  <si>
    <t>JNJ US Equity- Company Financial (Multiple Periods)</t>
  </si>
  <si>
    <t xml:space="preserve">    Capital Expenditures/Revenue (%)</t>
  </si>
  <si>
    <t xml:space="preserve">      Free Cash Flow Per Share</t>
  </si>
  <si>
    <t>RR206</t>
  </si>
  <si>
    <t>NET_CHNG_IN_LT_DEBT</t>
  </si>
  <si>
    <t xml:space="preserve">    Proceeds from Long-Term Debt</t>
  </si>
  <si>
    <t xml:space="preserve">    Purchases of Common Share</t>
  </si>
  <si>
    <t>CF030</t>
  </si>
  <si>
    <t>CF_INCR_CAP_STOCK</t>
  </si>
  <si>
    <t xml:space="preserve">    Proceeds from Stocks</t>
  </si>
  <si>
    <t>CF301</t>
  </si>
  <si>
    <t>CF_NET_CHG_IN_ST_DBT_AND_CPTL_LEAS</t>
  </si>
  <si>
    <t xml:space="preserve">    Proceeds from Issuance of Short-Term Debt, Net &amp; Other</t>
  </si>
  <si>
    <t xml:space="preserve">      Proceeds from Issuance of Long-Term Debt</t>
  </si>
  <si>
    <t xml:space="preserve">      Debt Repayments</t>
  </si>
  <si>
    <t xml:space="preserve">    Acquisition of Subsidiaries</t>
  </si>
  <si>
    <t xml:space="preserve">    Purchases of Investment Securities</t>
  </si>
  <si>
    <t xml:space="preserve">    Proceeds from Sale of Investment Securities</t>
  </si>
  <si>
    <t>CF299</t>
  </si>
  <si>
    <t>CF_CASH_FOR_DIVESTITURES</t>
  </si>
  <si>
    <t xml:space="preserve">    Proceeds from Business Dispositions</t>
  </si>
  <si>
    <t xml:space="preserve">      Income Taxes</t>
  </si>
  <si>
    <t>CF431</t>
  </si>
  <si>
    <t>CHG_IN_ACCT_PYBL_AND_ACC_EXPNSS</t>
  </si>
  <si>
    <t xml:space="preserve">      Trade Accounts Payable &amp; Other Liabilities</t>
  </si>
  <si>
    <t>CF432</t>
  </si>
  <si>
    <t>CF_CHANGE_IN_PREPAID_EXPNSS</t>
  </si>
  <si>
    <t xml:space="preserve">      Prepaid Expenses &amp; Other Assets</t>
  </si>
  <si>
    <t>CF013</t>
  </si>
  <si>
    <t>CF_CHNG_NON_CASH_WORK_CAP</t>
  </si>
  <si>
    <t>CF443</t>
  </si>
  <si>
    <t>CF_GAIN_OR_LOSS_ON_SALE_INVSTMNT</t>
  </si>
  <si>
    <t xml:space="preserve">    Investing &amp; Financing Losses, Net</t>
  </si>
  <si>
    <t>CF283</t>
  </si>
  <si>
    <t>CF_STOCK_BASED_COMPENSATION</t>
  </si>
  <si>
    <t xml:space="preserve">      Amortization</t>
  </si>
  <si>
    <t xml:space="preserve">      Depreciation</t>
  </si>
  <si>
    <t xml:space="preserve">    Total Debts to Total Capital</t>
  </si>
  <si>
    <t xml:space="preserve">    Return on Equity (%)</t>
  </si>
  <si>
    <t>BL341</t>
  </si>
  <si>
    <t>CB_BS_MINORITY_NON_CONTROLLING_INT</t>
  </si>
  <si>
    <t xml:space="preserve">      Minority Interest</t>
  </si>
  <si>
    <t>BM348</t>
  </si>
  <si>
    <t>BS_EQTY_BEFORE_MINORITY_INT</t>
  </si>
  <si>
    <t xml:space="preserve">      Total Equity Before Minority Interest</t>
  </si>
  <si>
    <t xml:space="preserve">      Other Long-Term Liabilities</t>
  </si>
  <si>
    <t xml:space="preserve">      Current Portion of Long-Term Debt</t>
  </si>
  <si>
    <t xml:space="preserve">      Other Accrued Liabilities</t>
  </si>
  <si>
    <t xml:space="preserve">      Deferred Income Taxes &amp; Other Assets</t>
  </si>
  <si>
    <t xml:space="preserve">        Accumulated Depreciation &amp; Amortization</t>
  </si>
  <si>
    <t xml:space="preserve">      Property, Plant &amp; Equipment</t>
  </si>
  <si>
    <t>BL249</t>
  </si>
  <si>
    <t>PREPAID_EXPNSS_AND_OTHR</t>
  </si>
  <si>
    <t xml:space="preserve">      Other Receivables</t>
  </si>
  <si>
    <t xml:space="preserve">        Short-Term Investments</t>
  </si>
  <si>
    <t>BS029</t>
  </si>
  <si>
    <t>BS_LT_INVEST</t>
  </si>
  <si>
    <t xml:space="preserve">      Investments</t>
  </si>
  <si>
    <t xml:space="preserve">      Cash &amp; Cash Equivalents</t>
  </si>
  <si>
    <t>IM578</t>
  </si>
  <si>
    <t>IS_INC_TAX_EFFECT_NONGAAP_REC</t>
  </si>
  <si>
    <t xml:space="preserve">    Tax Expense</t>
  </si>
  <si>
    <t>IM365</t>
  </si>
  <si>
    <t>IS_R_AND_D_EXPENSE_NONGAAP_ADJUST</t>
  </si>
  <si>
    <t xml:space="preserve">    R&amp;D Expense  </t>
  </si>
  <si>
    <t>IM364</t>
  </si>
  <si>
    <t>IS_SG_AND_A_ADJUSTMENTS</t>
  </si>
  <si>
    <t xml:space="preserve">    Selling General and Administrative </t>
  </si>
  <si>
    <t xml:space="preserve">    Restructuring Expense</t>
  </si>
  <si>
    <t>IM186</t>
  </si>
  <si>
    <t>IS_MERGER_ACQUISITION_EXPENSE</t>
  </si>
  <si>
    <t xml:space="preserve">    Merger &amp; Acquistion Expense</t>
  </si>
  <si>
    <t>F0211</t>
  </si>
  <si>
    <t>NET_INCOME_TO_COMMON_MARGIN</t>
  </si>
  <si>
    <t>RR027</t>
  </si>
  <si>
    <t>PRETAX_MARGIN</t>
  </si>
  <si>
    <t xml:space="preserve">    Pre-Tax Income</t>
  </si>
  <si>
    <t>F1126</t>
  </si>
  <si>
    <t>OTHER_NOI_LOSS_GAAP_RATIO</t>
  </si>
  <si>
    <t xml:space="preserve">    Other Expense (Income), Net</t>
  </si>
  <si>
    <t xml:space="preserve">      EBITDA Margin (%)</t>
  </si>
  <si>
    <t>RR009</t>
  </si>
  <si>
    <t>EBITDA</t>
  </si>
  <si>
    <t xml:space="preserve">    EBITDA</t>
  </si>
  <si>
    <t>RR026</t>
  </si>
  <si>
    <t>OPER_MARGIN</t>
  </si>
  <si>
    <t xml:space="preserve">      Operating Margin (%)</t>
  </si>
  <si>
    <t>IS033</t>
  </si>
  <si>
    <t>IS_OPER_INC</t>
  </si>
  <si>
    <t xml:space="preserve">      Research &amp; Development Expense</t>
  </si>
  <si>
    <t xml:space="preserve">      Selling, General &amp; Administrative Expense</t>
  </si>
  <si>
    <t xml:space="preserve">  Other Expense (Income), Net</t>
  </si>
  <si>
    <t>IS036</t>
  </si>
  <si>
    <t>IS_FOREIGN_EXCH_LOSS</t>
  </si>
  <si>
    <t xml:space="preserve">  Net Foreign Exchange (Gain) Loss</t>
  </si>
  <si>
    <t xml:space="preserve">    Interest Income</t>
  </si>
  <si>
    <t xml:space="preserve">    Interest Expense</t>
  </si>
  <si>
    <t xml:space="preserve">  Interest Expense (Income), Net</t>
  </si>
  <si>
    <t>IM011</t>
  </si>
  <si>
    <t>IS_AMORTIZATION_EXPENSE</t>
  </si>
  <si>
    <t xml:space="preserve">    Selling, General &amp; Administrative</t>
  </si>
  <si>
    <t xml:space="preserve">  Total Operating Costs &amp; Expenses</t>
  </si>
  <si>
    <t xml:space="preserve">    YoY Organic Growth (%)</t>
  </si>
  <si>
    <t>SEG0000306519 Segment</t>
  </si>
  <si>
    <t xml:space="preserve">          Organic Growth (%)</t>
  </si>
  <si>
    <t xml:space="preserve">        Diabetes Care</t>
  </si>
  <si>
    <t>SEG0000306602 Segment</t>
  </si>
  <si>
    <t xml:space="preserve">        Neuromodulation</t>
  </si>
  <si>
    <t>SEG0000306531 Segment</t>
  </si>
  <si>
    <t xml:space="preserve">        Structural Heart</t>
  </si>
  <si>
    <t>SEG0000306719 Segment</t>
  </si>
  <si>
    <t>SEG0000306653 Segment</t>
  </si>
  <si>
    <t xml:space="preserve">        Heart Failure</t>
  </si>
  <si>
    <t>SEG0000306615 Segment</t>
  </si>
  <si>
    <t xml:space="preserve">        Electrophysiology</t>
  </si>
  <si>
    <t>SEG0000306724 Segment</t>
  </si>
  <si>
    <t xml:space="preserve">        Rhythm Management</t>
  </si>
  <si>
    <t>SEG0000306629 Segment</t>
  </si>
  <si>
    <t xml:space="preserve">      Medical Devices</t>
  </si>
  <si>
    <t>SEG0000306604 Segment</t>
  </si>
  <si>
    <t xml:space="preserve">        Rapid Diagnostics</t>
  </si>
  <si>
    <t>SEG0000306598 Segment</t>
  </si>
  <si>
    <t xml:space="preserve">        Point of Care</t>
  </si>
  <si>
    <t>SEG0000306515 Segment</t>
  </si>
  <si>
    <t xml:space="preserve">        Molecular</t>
  </si>
  <si>
    <t>SEG0000306661 Segment</t>
  </si>
  <si>
    <t xml:space="preserve">        Core Laboratory</t>
  </si>
  <si>
    <t>SEG0000306612 Segment</t>
  </si>
  <si>
    <t xml:space="preserve">        Organic Growth (%)</t>
  </si>
  <si>
    <t xml:space="preserve">      Diagnostics</t>
  </si>
  <si>
    <t>SEG0000412930 Segment</t>
  </si>
  <si>
    <t xml:space="preserve">        Adult</t>
  </si>
  <si>
    <t>SEG0000306768 Segment</t>
  </si>
  <si>
    <t xml:space="preserve">        Pediatric</t>
  </si>
  <si>
    <t>SEG0000306752 Segment</t>
  </si>
  <si>
    <t xml:space="preserve">      Nutrition</t>
  </si>
  <si>
    <t>SEG0000306516 Segment</t>
  </si>
  <si>
    <t>IC304</t>
  </si>
  <si>
    <t>IS_REV_INCLUDING_EX_CRT_ITEMS</t>
  </si>
  <si>
    <t xml:space="preserve">        Other Markets</t>
  </si>
  <si>
    <t>SEG0000306601 Segment</t>
  </si>
  <si>
    <t xml:space="preserve">        Key Emerging Markets</t>
  </si>
  <si>
    <t>SEG0000306738 Segment</t>
  </si>
  <si>
    <t xml:space="preserve">      Established Pharmaceuticals</t>
  </si>
  <si>
    <t>SEG0000306559 Segment</t>
  </si>
  <si>
    <t>SEG0000393346 Segment</t>
  </si>
  <si>
    <t xml:space="preserve">          Other</t>
  </si>
  <si>
    <t>SEG0000306546 Segment</t>
  </si>
  <si>
    <t>SEG0000306588 Segment</t>
  </si>
  <si>
    <t>SEG0000306622 Segment</t>
  </si>
  <si>
    <t>SEG0000306514 Segment</t>
  </si>
  <si>
    <t>SEG0000306533 Segment</t>
  </si>
  <si>
    <t>SEG0000306568 Segment</t>
  </si>
  <si>
    <t>SEG0000306549 Segment</t>
  </si>
  <si>
    <t>SEG0000306590 Segment</t>
  </si>
  <si>
    <t>SEG0000306706 Segment</t>
  </si>
  <si>
    <t>SEG0000306529 Segment</t>
  </si>
  <si>
    <t>SEG0000306693 Segment</t>
  </si>
  <si>
    <t>SEG0000306671 Segment</t>
  </si>
  <si>
    <t>SEG0000306681 Segment</t>
  </si>
  <si>
    <t>SEG0000306732 Segment</t>
  </si>
  <si>
    <t>SEG0000306569 Segment</t>
  </si>
  <si>
    <t>SEG0000306750 Segment</t>
  </si>
  <si>
    <t>SEG0000306687 Segment</t>
  </si>
  <si>
    <t>SEG0000306678 Segment</t>
  </si>
  <si>
    <t>IC390</t>
  </si>
  <si>
    <t>IS_ORGANIC_REV_GRWTH_N_GAAP_PCT</t>
  </si>
  <si>
    <t xml:space="preserve">      Rapid Diagnostics</t>
  </si>
  <si>
    <t>SEG0000306727 Segment</t>
  </si>
  <si>
    <t xml:space="preserve">      Point of Care</t>
  </si>
  <si>
    <t>SEG0000306634 Segment</t>
  </si>
  <si>
    <t xml:space="preserve">      Molecular</t>
  </si>
  <si>
    <t>SEG0000306685 Segment</t>
  </si>
  <si>
    <t xml:space="preserve">      Core Laboratory</t>
  </si>
  <si>
    <t>SEG0000306682 Segment</t>
  </si>
  <si>
    <t xml:space="preserve">    Diagnostics (Ex. Covid)</t>
  </si>
  <si>
    <t xml:space="preserve">  Adjusted Organic Revenue Growth (%)</t>
  </si>
  <si>
    <t>SEG6558657440 Segment</t>
  </si>
  <si>
    <t xml:space="preserve">      Continuous Glucose Monitors</t>
  </si>
  <si>
    <t>SEG0000306521 Segment</t>
  </si>
  <si>
    <t xml:space="preserve">      Diabetes Care</t>
  </si>
  <si>
    <t>SEG0000306550 Segment</t>
  </si>
  <si>
    <t xml:space="preserve">      Neuromodulation</t>
  </si>
  <si>
    <t>SEG0000306748 Segment</t>
  </si>
  <si>
    <t xml:space="preserve">      Structural Heart</t>
  </si>
  <si>
    <t>SEG0000306592 Segment</t>
  </si>
  <si>
    <t>SEG0000306575 Segment</t>
  </si>
  <si>
    <t xml:space="preserve">      Heart Failure</t>
  </si>
  <si>
    <t>SEG0000306577 Segment</t>
  </si>
  <si>
    <t xml:space="preserve">      Electrophysiology</t>
  </si>
  <si>
    <t>SEG0000306753 Segment</t>
  </si>
  <si>
    <t xml:space="preserve">      Rhythm Management</t>
  </si>
  <si>
    <t>SEG0000306728 Segment</t>
  </si>
  <si>
    <t xml:space="preserve">    Medical Devices</t>
  </si>
  <si>
    <t xml:space="preserve">    Diagnostics Consolidated</t>
  </si>
  <si>
    <t>SEG0000306656 Segment</t>
  </si>
  <si>
    <t xml:space="preserve">      Adult</t>
  </si>
  <si>
    <t>SEG0000306513 Segment</t>
  </si>
  <si>
    <t xml:space="preserve">      Pediatric</t>
  </si>
  <si>
    <t>SEG0000306650 Segment</t>
  </si>
  <si>
    <t xml:space="preserve">    Nutritionals</t>
  </si>
  <si>
    <t xml:space="preserve">      Other Emerging Markets</t>
  </si>
  <si>
    <t xml:space="preserve">      Key Emerging Markets</t>
  </si>
  <si>
    <t xml:space="preserve">    Established Pharmaceuticals</t>
  </si>
  <si>
    <t xml:space="preserve">  Organic Revenue Growth (%)</t>
  </si>
  <si>
    <t>SEG1447560099 Segment</t>
  </si>
  <si>
    <t xml:space="preserve">        Continuous Glucose Monitors</t>
  </si>
  <si>
    <t>SEG0000306729 Segment</t>
  </si>
  <si>
    <t xml:space="preserve">      Cardiovascular &amp; Neuromodulation</t>
  </si>
  <si>
    <t>SEG0000584186 Segment</t>
  </si>
  <si>
    <t xml:space="preserve">      Covid-19 Testing</t>
  </si>
  <si>
    <t xml:space="preserve">    Diagnostics</t>
  </si>
  <si>
    <t>SEG0000425256 Segment</t>
  </si>
  <si>
    <t xml:space="preserve">    Nutrition</t>
  </si>
  <si>
    <t xml:space="preserve">      Other Markets</t>
  </si>
  <si>
    <t xml:space="preserve">  FX Impact on Revenue Growth (%)</t>
  </si>
  <si>
    <t xml:space="preserve">      Diabetes</t>
  </si>
  <si>
    <t xml:space="preserve">      Covid-19 Testing </t>
  </si>
  <si>
    <t xml:space="preserve">    Organic Growth Ex. Covid Impact (%)</t>
  </si>
  <si>
    <t>ABT US Equity    Periodicity:A    Currency:USD    Estimate Source:BST    Actual Source:Bloomberg</t>
  </si>
  <si>
    <t>ABT US Equity- Company Financial (Multiple Periods)</t>
  </si>
  <si>
    <t>CF227</t>
  </si>
  <si>
    <t>CF_CASH_AND_CASH_EQUIV_END_BAL</t>
  </si>
  <si>
    <t>CF302</t>
  </si>
  <si>
    <t>CF_NET_CSH_PROV_BY_FINANCING_ACT</t>
  </si>
  <si>
    <t>CF456</t>
  </si>
  <si>
    <t>CF_TAX_WITHHLDG_FOR_REPUR_OF_STK</t>
  </si>
  <si>
    <t xml:space="preserve">    Cash Used to Net Share Settle Employee Equity Awards</t>
  </si>
  <si>
    <t>F1220</t>
  </si>
  <si>
    <t>PROC_FR_REPAYMNTS_BOR_DETAILED</t>
  </si>
  <si>
    <t xml:space="preserve">    Cash Dividends Paid on Preferred Stock</t>
  </si>
  <si>
    <t xml:space="preserve">  Cash From Financing Activities</t>
  </si>
  <si>
    <t xml:space="preserve">    Proceeds from Sale of Property, Plant &amp; Equipment</t>
  </si>
  <si>
    <t>CF015</t>
  </si>
  <si>
    <t>CF_CASH_FROM_OPER</t>
  </si>
  <si>
    <t xml:space="preserve">      Accounts Payable, Accrued Expenses &amp; Other Liabilities</t>
  </si>
  <si>
    <t xml:space="preserve">    Deferred &amp; Prepaid Income Taxes</t>
  </si>
  <si>
    <t xml:space="preserve">    Loss (Gain) on Disposal of Businesses &amp; Assets</t>
  </si>
  <si>
    <t>F0061</t>
  </si>
  <si>
    <t>BV_PER_WEIGHTED_DILUTED_SHARE</t>
  </si>
  <si>
    <t xml:space="preserve">    Annualized Days Sales Outstanding</t>
  </si>
  <si>
    <t>RX026</t>
  </si>
  <si>
    <t>NORMALIZED_ROE</t>
  </si>
  <si>
    <t xml:space="preserve">    Net Debt</t>
  </si>
  <si>
    <t>BS062</t>
  </si>
  <si>
    <t>MINORITY_NONCONTROLLING_INTEREST</t>
  </si>
  <si>
    <t xml:space="preserve">      Non-Controlling Interest</t>
  </si>
  <si>
    <t>BM786</t>
  </si>
  <si>
    <t>CB_BS_OTHER_CURRENT_LIABS</t>
  </si>
  <si>
    <t>BS124</t>
  </si>
  <si>
    <t>BS_ST_DEBT</t>
  </si>
  <si>
    <t>BS125</t>
  </si>
  <si>
    <t>BS_ACCRUAL</t>
  </si>
  <si>
    <t xml:space="preserve">      Other Payables &amp; Accruals</t>
  </si>
  <si>
    <t>BM783</t>
  </si>
  <si>
    <t>CB_BS_OTHER_CURRENT_ASSETS</t>
  </si>
  <si>
    <t xml:space="preserve">        Other Current Assets</t>
  </si>
  <si>
    <t>BS119</t>
  </si>
  <si>
    <t>BS_PREPAY</t>
  </si>
  <si>
    <t xml:space="preserve">        Prepaid Income Taxes</t>
  </si>
  <si>
    <t xml:space="preserve">      Prepaid Expenses &amp; Other Current Assets</t>
  </si>
  <si>
    <t>RR900</t>
  </si>
  <si>
    <t>PE_RATIO</t>
  </si>
  <si>
    <t xml:space="preserve">    Price Earnings Ratio (P/E)</t>
  </si>
  <si>
    <t>IS051</t>
  </si>
  <si>
    <t>IS_TOT_CASH_PFD_DVD</t>
  </si>
  <si>
    <t xml:space="preserve">    Preferred Dividends</t>
  </si>
  <si>
    <t>IS040</t>
  </si>
  <si>
    <t>IS_INC_BEF_XO_ITEM</t>
  </si>
  <si>
    <t xml:space="preserve">    Income from Continue Operations</t>
  </si>
  <si>
    <t>IC447</t>
  </si>
  <si>
    <t>CB_IS_OTHER_NON_OPER_INC_EXPN</t>
  </si>
  <si>
    <t xml:space="preserve">    Other, Net</t>
  </si>
  <si>
    <t xml:space="preserve">      As a % of Revenue</t>
  </si>
  <si>
    <t xml:space="preserve">    Selling, General and Administrative Expense</t>
  </si>
  <si>
    <t>IS151</t>
  </si>
  <si>
    <t>IS_DIV_PER_SHR</t>
  </si>
  <si>
    <t xml:space="preserve">  Other Expense, Net</t>
  </si>
  <si>
    <t>IL488</t>
  </si>
  <si>
    <t>CB_IS_RESTRUCTURING_CHARGES</t>
  </si>
  <si>
    <t xml:space="preserve">    Restructuring Net Charges</t>
  </si>
  <si>
    <t>IL482</t>
  </si>
  <si>
    <t>CB_IS_MERGER_ACQUISITION_EXP</t>
  </si>
  <si>
    <t xml:space="preserve">    Contingent Consideration</t>
  </si>
  <si>
    <t>IL487</t>
  </si>
  <si>
    <t>CB_IS_IMPAIRMENT_INTANGIBLE_ASSETS</t>
  </si>
  <si>
    <t xml:space="preserve">    Intangible Asset Impairment Charges</t>
  </si>
  <si>
    <t>IC331</t>
  </si>
  <si>
    <t>CB_IS_ROYALTIES_EXP</t>
  </si>
  <si>
    <t xml:space="preserve">    Royalty</t>
  </si>
  <si>
    <t>IM744</t>
  </si>
  <si>
    <t>CB_IS_ADJUSTED_OPEX</t>
  </si>
  <si>
    <t>SEG9984528708 Segment</t>
  </si>
  <si>
    <t xml:space="preserve">      Interventional Oncology &amp; Embolization</t>
  </si>
  <si>
    <t>SEG0000267022 Segment</t>
  </si>
  <si>
    <t>SEG0000266932 Segment</t>
  </si>
  <si>
    <t xml:space="preserve">      Cardiac Rhythm Management</t>
  </si>
  <si>
    <t>SEG0000674831 Segment</t>
  </si>
  <si>
    <t xml:space="preserve">      Watchman</t>
  </si>
  <si>
    <t>SEG8540015434 Segment</t>
  </si>
  <si>
    <t xml:space="preserve">      Interventional Cardiology &amp; Vascular Therapies</t>
  </si>
  <si>
    <t>SEG0000267035 Segment</t>
  </si>
  <si>
    <t>SEG0000267095 Segment</t>
  </si>
  <si>
    <t xml:space="preserve">      Urology</t>
  </si>
  <si>
    <t>SEG0000266927 Segment</t>
  </si>
  <si>
    <t>SEG0000267062 Segment</t>
  </si>
  <si>
    <t>SEG2206723404 Segment</t>
  </si>
  <si>
    <t>SEG0000266957 Segment</t>
  </si>
  <si>
    <t>SEG0000266954 Segment</t>
  </si>
  <si>
    <t>SEG0000674832 Segment</t>
  </si>
  <si>
    <t>SEG9762210123 Segment</t>
  </si>
  <si>
    <t>SEG0000267050 Segment</t>
  </si>
  <si>
    <t>SEG0000266953 Segment</t>
  </si>
  <si>
    <t>SEG0000266920 Segment</t>
  </si>
  <si>
    <t>SEG0000267039 Segment</t>
  </si>
  <si>
    <t>SEG0000267082 Segment</t>
  </si>
  <si>
    <t xml:space="preserve">      YoY Organic Growth (%)</t>
  </si>
  <si>
    <t xml:space="preserve">    Peripheral Interventions</t>
  </si>
  <si>
    <t>SEG0000752875 Segment</t>
  </si>
  <si>
    <t xml:space="preserve">    Cardiology</t>
  </si>
  <si>
    <t>SEG0000266984 Segment</t>
  </si>
  <si>
    <t xml:space="preserve">    Interventional Cardiology</t>
  </si>
  <si>
    <t>SEG0000335568 Segment</t>
  </si>
  <si>
    <t xml:space="preserve">    Specialty Pharmaceuticals</t>
  </si>
  <si>
    <t>SEG0000266912 Segment</t>
  </si>
  <si>
    <t xml:space="preserve">    Rhythm &amp; Neuro</t>
  </si>
  <si>
    <t>SEG7317820745 Segment</t>
  </si>
  <si>
    <t xml:space="preserve">        Interventional Oncology &amp; Embolization</t>
  </si>
  <si>
    <t>SEG0000266913 Segment</t>
  </si>
  <si>
    <t xml:space="preserve">        Cardiac Rhythm Management</t>
  </si>
  <si>
    <t>SEG0000267000 Segment</t>
  </si>
  <si>
    <t>SEG0000674830 Segment</t>
  </si>
  <si>
    <t xml:space="preserve">        Watchman</t>
  </si>
  <si>
    <t>SEG1984404819 Segment</t>
  </si>
  <si>
    <t xml:space="preserve">        Interventional Cardiology &amp; Vascular Therapies</t>
  </si>
  <si>
    <t>SEG0000267131 Segment</t>
  </si>
  <si>
    <t xml:space="preserve">    Cardiovascular</t>
  </si>
  <si>
    <t>SEG0000267106 Segment</t>
  </si>
  <si>
    <t>SEG0000266935 Segment</t>
  </si>
  <si>
    <t>SEG0000267031 Segment</t>
  </si>
  <si>
    <t>SEG0000267042 Segment</t>
  </si>
  <si>
    <t xml:space="preserve">    MedSurg</t>
  </si>
  <si>
    <t xml:space="preserve">  Operational Growth (%)</t>
  </si>
  <si>
    <t xml:space="preserve">            YoY Organic Growth (%)</t>
  </si>
  <si>
    <t xml:space="preserve">          Interventional Oncology &amp; Embolization</t>
  </si>
  <si>
    <t xml:space="preserve">          Cardiac Rhythm Management</t>
  </si>
  <si>
    <t xml:space="preserve">          Electrophysiology</t>
  </si>
  <si>
    <t xml:space="preserve">          Watchman</t>
  </si>
  <si>
    <t xml:space="preserve">          Interventional Cardiology &amp; Vascular Therapies</t>
  </si>
  <si>
    <t xml:space="preserve">          YoY Organic Growth (%)</t>
  </si>
  <si>
    <t xml:space="preserve">      Cardiovascular</t>
  </si>
  <si>
    <t xml:space="preserve">        Urology</t>
  </si>
  <si>
    <t xml:space="preserve">        YoY Organic Growth (%)</t>
  </si>
  <si>
    <t xml:space="preserve">      MedSurg</t>
  </si>
  <si>
    <t>SEG0000346235 Segment</t>
  </si>
  <si>
    <t xml:space="preserve">  Medical Devices</t>
  </si>
  <si>
    <t xml:space="preserve">      MedSurg Organic Growth (%)</t>
  </si>
  <si>
    <t xml:space="preserve">      Cardiovascular Organic Growth (%)</t>
  </si>
  <si>
    <t xml:space="preserve">    Total Revenue Organic Growth (%)</t>
  </si>
  <si>
    <t xml:space="preserve">    Operational Growth (%)</t>
  </si>
  <si>
    <t>BSX US Equity    Periodicity:A    Currency:USD    Estimate Source:BST    Actual Source:Bloomberg</t>
  </si>
  <si>
    <t>BSX US Equity- Company Financial (Multiple Periods)</t>
  </si>
  <si>
    <t>CF470</t>
  </si>
  <si>
    <t>CB_CF_OTHER_FINANCING_ACTIVITIES</t>
  </si>
  <si>
    <t>CF025</t>
  </si>
  <si>
    <t>CF_CASH_FROM_INV_ACT</t>
  </si>
  <si>
    <t>F1219</t>
  </si>
  <si>
    <t>OTHER_INVESTING_ACT_DETAILED</t>
  </si>
  <si>
    <t>CF505</t>
  </si>
  <si>
    <t>CB_CF_CHANGE_IN_ACCOUNTS_RECEIVABLE</t>
  </si>
  <si>
    <t>RR020</t>
  </si>
  <si>
    <t>BOOK_VAL_PER_SH</t>
  </si>
  <si>
    <t>RX580</t>
  </si>
  <si>
    <t>CASH_ST_LT_INVESTMENTS</t>
  </si>
  <si>
    <t>BM661</t>
  </si>
  <si>
    <t>BS_LT_OPERATING_LEASE_LIABS</t>
  </si>
  <si>
    <t>BS071</t>
  </si>
  <si>
    <t>BS_ST_PORTION_OF_LT_DEBT</t>
  </si>
  <si>
    <t>BL248</t>
  </si>
  <si>
    <t>CB_BS_ACCT_PYBL_ACC_EXPNSS</t>
  </si>
  <si>
    <t>BM281</t>
  </si>
  <si>
    <t>BS_LONG_TERM_INVESTMENTS</t>
  </si>
  <si>
    <t>BM659</t>
  </si>
  <si>
    <t>BS_OPER_LEA_RT_OF_USE_ASSETS</t>
  </si>
  <si>
    <t>F1201</t>
  </si>
  <si>
    <t>OTHER_CURRENT_ASSETS_DETAILED</t>
  </si>
  <si>
    <t>BL309</t>
  </si>
  <si>
    <t>CB_BS_ACCOUNTS_RECEIVABLE</t>
  </si>
  <si>
    <t>IM371</t>
  </si>
  <si>
    <t>IS_ADJUSTMENT_FACE</t>
  </si>
  <si>
    <t>IM567</t>
  </si>
  <si>
    <t>CB_IS_LEGAL_SETTLE_PRETAX_NONGAAP_RECON</t>
  </si>
  <si>
    <t>IM790</t>
  </si>
  <si>
    <t>CB_IS_ETR_PCT</t>
  </si>
  <si>
    <t>IS032</t>
  </si>
  <si>
    <t>IS_OPERATING_EXPN</t>
  </si>
  <si>
    <t>IM303</t>
  </si>
  <si>
    <t>IS_REGULAR_CASH_DIVIDEND_PER_SH</t>
  </si>
  <si>
    <t>IS043</t>
  </si>
  <si>
    <t>MIN_NONCONTROL_INTEREST_CREDITS</t>
  </si>
  <si>
    <t>IL455</t>
  </si>
  <si>
    <t>CB_IS_INCOME_TAX_EXP</t>
  </si>
  <si>
    <t>IL285</t>
  </si>
  <si>
    <t>CB_IS_INTEREST_EXPENSE</t>
  </si>
  <si>
    <t>IM058</t>
  </si>
  <si>
    <t>IS_ADJ_GROSS_MARGIN_PCT_AR</t>
  </si>
  <si>
    <t>SEG0000280739 Segment</t>
  </si>
  <si>
    <t>SEG0000280748 Segment</t>
  </si>
  <si>
    <t>SEG0000280752 Segment</t>
  </si>
  <si>
    <t>SEG0000280749 Segment</t>
  </si>
  <si>
    <t>SEG0000280734 Segment</t>
  </si>
  <si>
    <t>SEG0000280745 Segment</t>
  </si>
  <si>
    <t>SEG0000280744 Segment</t>
  </si>
  <si>
    <t>SEG0000291600 Segment</t>
  </si>
  <si>
    <t>SEG0000291598 Segment</t>
  </si>
  <si>
    <t>SEG0000280733 Segment</t>
  </si>
  <si>
    <t>IM116</t>
  </si>
  <si>
    <t>IS_SALES_CHANGE_CRNCY_IMPACT</t>
  </si>
  <si>
    <t>EW US Equity    Periodicity:A    Currency:USD    Estimate Source:BST    Actual Source:Bloomberg</t>
  </si>
  <si>
    <t>EW US Equity- Company Financial (Multiple Periods)</t>
  </si>
  <si>
    <t>2018 A (Rep)</t>
  </si>
  <si>
    <t>2019 A (Rep)</t>
  </si>
  <si>
    <t>2020 A (Rep)</t>
  </si>
  <si>
    <t>2021 A (Rep)</t>
  </si>
  <si>
    <t>2022 A (Rep)</t>
  </si>
  <si>
    <t>2023 A (Rep)</t>
  </si>
  <si>
    <t>2024 A (Rep)</t>
  </si>
  <si>
    <t>2025 A (Rep)</t>
  </si>
  <si>
    <t>2026 A (Fwd)</t>
  </si>
  <si>
    <t>2027 A (Fwd)</t>
  </si>
  <si>
    <t/>
  </si>
  <si>
    <t>#N/A Invalid Parameter: Undefined item: REVENUE_GROWTH_CC_1_YR.</t>
  </si>
  <si>
    <t>Equity Value</t>
  </si>
  <si>
    <t>Preferred Equity Value</t>
  </si>
  <si>
    <t>Short-Term Debt Value</t>
  </si>
  <si>
    <t>Long-Term Debt Value</t>
  </si>
  <si>
    <t>Total Capital</t>
  </si>
  <si>
    <t>% Equity</t>
  </si>
  <si>
    <t>%Preferred Equity</t>
  </si>
  <si>
    <t>% Short-Term Debt</t>
  </si>
  <si>
    <t>% Long-Term Debt</t>
  </si>
  <si>
    <t>Beta</t>
  </si>
  <si>
    <t>Risk Free Rate</t>
  </si>
  <si>
    <t>Pre-Tax Cost of Debt</t>
  </si>
  <si>
    <t>WACC</t>
  </si>
  <si>
    <t>SYK</t>
  </si>
  <si>
    <t>JNJ</t>
  </si>
  <si>
    <t>BSX</t>
  </si>
  <si>
    <t>ABT</t>
  </si>
  <si>
    <t>EW</t>
  </si>
  <si>
    <t>(in millions)</t>
  </si>
  <si>
    <t>Expected Return of Market</t>
  </si>
  <si>
    <t>Assumed Equity Risk Premium</t>
  </si>
  <si>
    <t>S&amp;P 500</t>
  </si>
  <si>
    <t>SYK Returns</t>
  </si>
  <si>
    <t>JNJ Returns</t>
  </si>
  <si>
    <t>ABT Returns</t>
  </si>
  <si>
    <t>BSX Returns</t>
  </si>
  <si>
    <t>EW Returns</t>
  </si>
  <si>
    <t>S&amp;P Returns</t>
  </si>
  <si>
    <t>Beta Vals:</t>
  </si>
  <si>
    <t>2026 Tax Rate (%)</t>
  </si>
  <si>
    <t>Dates (60 Months)</t>
  </si>
  <si>
    <t>Highlights</t>
  </si>
  <si>
    <t>Adjusted Diluted EPS</t>
  </si>
  <si>
    <t>Revenue</t>
  </si>
  <si>
    <t>Organic Growth (%)</t>
  </si>
  <si>
    <t>Segment Revenue</t>
  </si>
  <si>
    <t>Transcatheter Aortic Valve Replacement</t>
  </si>
  <si>
    <t>Transcatheter Mitral &amp; Tricuspid Therapies</t>
  </si>
  <si>
    <t>Surgical Structural Heart</t>
  </si>
  <si>
    <t>Divested Segment Revenue</t>
  </si>
  <si>
    <t>Critical Care</t>
  </si>
  <si>
    <t>Adjusted Gross Margin (%)</t>
  </si>
  <si>
    <t>Adjusted Operating Margin (%)</t>
  </si>
  <si>
    <t>Long-Term Debt</t>
  </si>
  <si>
    <t>Free Cash Flow</t>
  </si>
  <si>
    <t>Company Operating Metrics</t>
  </si>
  <si>
    <t>Company-Level Industry Statistics</t>
  </si>
  <si>
    <t>Constant Currency Growth (%)</t>
  </si>
  <si>
    <t>Transcatheter Mitral &amp; Tricuspid Therapy</t>
  </si>
  <si>
    <t>Sales Change Currencies</t>
  </si>
  <si>
    <t>Transcatheter Mitral &amp; Triscuspid Therapies</t>
  </si>
  <si>
    <t>International</t>
  </si>
  <si>
    <t>Europe</t>
  </si>
  <si>
    <t>Japan</t>
  </si>
  <si>
    <t>Rest of World</t>
  </si>
  <si>
    <t>Business Breakdown</t>
  </si>
  <si>
    <t>Transcatheter Heart Valves</t>
  </si>
  <si>
    <t>Prior Disclosure</t>
  </si>
  <si>
    <t>Regional Breakdown</t>
  </si>
  <si>
    <t>United States</t>
  </si>
  <si>
    <t>Rest of the World</t>
  </si>
  <si>
    <t>Income Statement (Adjusted)</t>
  </si>
  <si>
    <t>Total Revenue</t>
  </si>
  <si>
    <t>Cost of Revenue</t>
  </si>
  <si>
    <t>As % of Revenue</t>
  </si>
  <si>
    <t>Gross Profit</t>
  </si>
  <si>
    <t>Gross Margin (%)</t>
  </si>
  <si>
    <t>Selling, General &amp; Administrative</t>
  </si>
  <si>
    <t>Research &amp; Development</t>
  </si>
  <si>
    <t>Merger &amp; Acquisition</t>
  </si>
  <si>
    <t>Operating Income</t>
  </si>
  <si>
    <t>Operating Margin (%)</t>
  </si>
  <si>
    <t>Depreciation &amp; Amortization</t>
  </si>
  <si>
    <t>EBITDA Margin (%)</t>
  </si>
  <si>
    <t>Interest Expense / (Income), Net</t>
  </si>
  <si>
    <t>Interest Expense</t>
  </si>
  <si>
    <t>Other Expense / (Income), Net</t>
  </si>
  <si>
    <t>Pre-Tax Income</t>
  </si>
  <si>
    <t>Pre-Tax Margin (%)</t>
  </si>
  <si>
    <t>Income Tax Expense</t>
  </si>
  <si>
    <t>Tax Rate (%)</t>
  </si>
  <si>
    <t>Net Loss Attributable to Noncontrolling Interest</t>
  </si>
  <si>
    <t>Net Income</t>
  </si>
  <si>
    <t>Net Margin (%)</t>
  </si>
  <si>
    <t>Basic Weighted Avg. Shares</t>
  </si>
  <si>
    <t>Diluted Weighted Avg. Shares</t>
  </si>
  <si>
    <t>Diluted EPS</t>
  </si>
  <si>
    <t>Dividend per Share</t>
  </si>
  <si>
    <t>GAAP Results</t>
  </si>
  <si>
    <t>Total Operating Expenses</t>
  </si>
  <si>
    <t>Non-Operating (Income) Loss</t>
  </si>
  <si>
    <t>Company-Specific Adjustments</t>
  </si>
  <si>
    <t>Legal Settlement</t>
  </si>
  <si>
    <t>Adjustments</t>
  </si>
  <si>
    <t>Condensed Balance Sheet</t>
  </si>
  <si>
    <t>Assets</t>
  </si>
  <si>
    <t>Current Assets</t>
  </si>
  <si>
    <t>Cash, Cash Equivalents &amp; Short-Term Investments</t>
  </si>
  <si>
    <t>Cash &amp; Cash Equivalents</t>
  </si>
  <si>
    <t>Accounts Receivable</t>
  </si>
  <si>
    <t>Inventories</t>
  </si>
  <si>
    <t>Short-Term Investments</t>
  </si>
  <si>
    <t>Prepaid Expenses &amp; Other Current Assets</t>
  </si>
  <si>
    <t>Prepaid Expenses</t>
  </si>
  <si>
    <t>Other Current Assets</t>
  </si>
  <si>
    <t>Non-Current Assets</t>
  </si>
  <si>
    <t>Property, Plant &amp; Equipment</t>
  </si>
  <si>
    <t>Operating Lease Assets</t>
  </si>
  <si>
    <t>Goodwill</t>
  </si>
  <si>
    <t>Other Intangible Assets</t>
  </si>
  <si>
    <t>Long-Term Investments</t>
  </si>
  <si>
    <t>Deferred Tax Assets</t>
  </si>
  <si>
    <t>Intangible Assets</t>
  </si>
  <si>
    <t>Other</t>
  </si>
  <si>
    <t>Total Assets</t>
  </si>
  <si>
    <t>Liabilities &amp; Equity</t>
  </si>
  <si>
    <t>Current Liabilities</t>
  </si>
  <si>
    <t>Accounts Payable</t>
  </si>
  <si>
    <t>Accounts Payable &amp; Accrued Liabilities</t>
  </si>
  <si>
    <t>Other Current Liabilities</t>
  </si>
  <si>
    <t>Non-Current Liabilities</t>
  </si>
  <si>
    <t>Operating Lease Liabilities</t>
  </si>
  <si>
    <t>Non-Current Tax Liabilities</t>
  </si>
  <si>
    <t>Total Liabilities</t>
  </si>
  <si>
    <t>Total Shareholders' Equity</t>
  </si>
  <si>
    <t>Non-Controlling Interest</t>
  </si>
  <si>
    <t>Common Stock</t>
  </si>
  <si>
    <t>Retained Earnings</t>
  </si>
  <si>
    <t>Accumulated Other Comprehensive Income</t>
  </si>
  <si>
    <t>Treasury stock</t>
  </si>
  <si>
    <t>Additional Paid-In Capital</t>
  </si>
  <si>
    <t>Total Liabilities &amp; Shareholders' Equity</t>
  </si>
  <si>
    <t>Special Company Reference Items</t>
  </si>
  <si>
    <t>Total Debt</t>
  </si>
  <si>
    <t>Net Debt (Cash)</t>
  </si>
  <si>
    <t>Cash &amp; Short-Term &amp; Long-Term Investments</t>
  </si>
  <si>
    <t>Return on Assets (%)</t>
  </si>
  <si>
    <t>Return on Equity (%)</t>
  </si>
  <si>
    <t>Current Ratio</t>
  </si>
  <si>
    <t>Book Value per Share</t>
  </si>
  <si>
    <t>Condensed Cash Flow Statement</t>
  </si>
  <si>
    <t>Cash from Operating Activities</t>
  </si>
  <si>
    <t>Depreciation</t>
  </si>
  <si>
    <t>Amortization</t>
  </si>
  <si>
    <t>Stock-Based Compensation</t>
  </si>
  <si>
    <t>Deferred Income Taxes</t>
  </si>
  <si>
    <t>Change in Working Capital</t>
  </si>
  <si>
    <t>Other Assets &amp; Liabilities</t>
  </si>
  <si>
    <t>Income Taxes Payable or Receivable</t>
  </si>
  <si>
    <t>Cash Flow from Operations</t>
  </si>
  <si>
    <t>Cash from Investing Activities</t>
  </si>
  <si>
    <t>Capital Expenditures</t>
  </si>
  <si>
    <t>Acquisition of Subsidiaries</t>
  </si>
  <si>
    <t>Other Investing Activites</t>
  </si>
  <si>
    <t>Cash Flow from Investing</t>
  </si>
  <si>
    <t>Cash from Financing Activities</t>
  </si>
  <si>
    <t>Change in Debt</t>
  </si>
  <si>
    <t>Debt Issuance</t>
  </si>
  <si>
    <t>Debt Repayments</t>
  </si>
  <si>
    <t>Repurchase of Stock</t>
  </si>
  <si>
    <t>Proceeds from Stock Plans</t>
  </si>
  <si>
    <t>Cash Flow from Financing</t>
  </si>
  <si>
    <t>Effects of Foreign Exchange Rates on Cash</t>
  </si>
  <si>
    <t>Net Change in Cash</t>
  </si>
  <si>
    <t>Cash &amp; Cash Equivalents (BOP)</t>
  </si>
  <si>
    <t>Cash &amp; Cash Equivalents (EOP)</t>
  </si>
  <si>
    <t>Cash Flow per Share</t>
  </si>
  <si>
    <t>Free Cash Flow per Share</t>
  </si>
  <si>
    <t>Data compiled as of March 23rd, 2026</t>
  </si>
  <si>
    <t>Right click to show data transparency (not supported for all values)</t>
  </si>
  <si>
    <t>CAPITAL_EXPEND</t>
  </si>
  <si>
    <t>Cash from Operations</t>
  </si>
  <si>
    <t>DILUTED_EPS_AFT_XO_ITEMS_GROWTH</t>
  </si>
  <si>
    <t xml:space="preserve">  Growth %, YoY</t>
  </si>
  <si>
    <t>IS_DIL_EPS_CONT_OPS</t>
  </si>
  <si>
    <t>EPS, Adj</t>
  </si>
  <si>
    <t>EARN_FOR_COMMON</t>
  </si>
  <si>
    <t xml:space="preserve">  Margin %</t>
  </si>
  <si>
    <t>Net Income, Adj</t>
  </si>
  <si>
    <t>EBITDA, Adj</t>
  </si>
  <si>
    <t>GROSS_PROFIT</t>
  </si>
  <si>
    <t>Gross Profit, Adj</t>
  </si>
  <si>
    <t>SALES_GROWTH</t>
  </si>
  <si>
    <t>Revenue, Adj</t>
  </si>
  <si>
    <t>ENTERPRISE_VALUE</t>
  </si>
  <si>
    <t>Enterprise Value</t>
  </si>
  <si>
    <t>SHORT_AND_LONG_TERM_DEBT</t>
  </si>
  <si>
    <t>+ Total Debt</t>
  </si>
  <si>
    <t>PFD_EQTY_MINORTY_INTEREST</t>
  </si>
  <si>
    <t>+ Preferred &amp; Other</t>
  </si>
  <si>
    <t>CASH_AND_MARKETABLE_SECURITIES</t>
  </si>
  <si>
    <t>- Cash &amp; Equivalents</t>
  </si>
  <si>
    <t>HISTORICAL_MARKET_CAP</t>
  </si>
  <si>
    <t>Market Capitalization</t>
  </si>
  <si>
    <t>12/31/2027</t>
  </si>
  <si>
    <t>12/31/2026</t>
  </si>
  <si>
    <t>12/31/2025</t>
  </si>
  <si>
    <t>12/31/2024</t>
  </si>
  <si>
    <t>12/31/2023</t>
  </si>
  <si>
    <t>12/31/2022</t>
  </si>
  <si>
    <t>12/31/2021</t>
  </si>
  <si>
    <t>12/31/2020</t>
  </si>
  <si>
    <t>12/31/2019</t>
  </si>
  <si>
    <t>FY 2027 Est</t>
  </si>
  <si>
    <t>FY 2026 Est</t>
  </si>
  <si>
    <t>Current/LTM</t>
  </si>
  <si>
    <t>FY 2025</t>
  </si>
  <si>
    <t>FY 2024</t>
  </si>
  <si>
    <t>FY 2023</t>
  </si>
  <si>
    <t>FY 2022</t>
  </si>
  <si>
    <t>FY 2021</t>
  </si>
  <si>
    <t>FY 2020</t>
  </si>
  <si>
    <t>FY 2019</t>
  </si>
  <si>
    <t>Stryker Corp (SYK US) - BBG Adj Highlights</t>
  </si>
  <si>
    <t>BS_CURR_RENTAL_EXPENSE</t>
  </si>
  <si>
    <t>Rental Expense</t>
  </si>
  <si>
    <t>Depreciation Expense</t>
  </si>
  <si>
    <t>—</t>
  </si>
  <si>
    <t>IS_CAP_INT_EXP</t>
  </si>
  <si>
    <t>Capitalized Interest Expense</t>
  </si>
  <si>
    <t>IS_TOT_CASH_COM_DVD</t>
  </si>
  <si>
    <t>Total Cash Common Dividends</t>
  </si>
  <si>
    <t>EQY_DPS</t>
  </si>
  <si>
    <t>Dividends per Share</t>
  </si>
  <si>
    <t>ACTUAL_SALES_PER_EMPL</t>
  </si>
  <si>
    <t>Sales per Employee</t>
  </si>
  <si>
    <t>Profit Margin</t>
  </si>
  <si>
    <t>Operating Margin</t>
  </si>
  <si>
    <t>GROSS_MARGIN</t>
  </si>
  <si>
    <t>Gross Margin</t>
  </si>
  <si>
    <t>EBIT</t>
  </si>
  <si>
    <t>EBITA</t>
  </si>
  <si>
    <t>EBITDA_MARGIN</t>
  </si>
  <si>
    <t>EBITDA Margin (T12M)</t>
  </si>
  <si>
    <t>US GAAP</t>
  </si>
  <si>
    <t>ACCOUNTING_STANDARD</t>
  </si>
  <si>
    <t>Accounting Standard</t>
  </si>
  <si>
    <t>Reference Items</t>
  </si>
  <si>
    <t>Diluted EPS from Cont Ops, Adjusted</t>
  </si>
  <si>
    <t>IS_DIL_EPS_BEF_XO</t>
  </si>
  <si>
    <t>Diluted EPS from Cont Ops, GAAP</t>
  </si>
  <si>
    <t>IS_DILUTED_EPS</t>
  </si>
  <si>
    <t>Diluted EPS, GAAP</t>
  </si>
  <si>
    <t>Diluted Weighted Avg Shares</t>
  </si>
  <si>
    <t>IS_BASIC_EPS_CONT_OPS</t>
  </si>
  <si>
    <t>Basic EPS from Cont Ops, Adjusted</t>
  </si>
  <si>
    <t>IS_EARN_BEF_XO_ITEMS_PER_SH</t>
  </si>
  <si>
    <t>Basic EPS from Cont Ops, GAAP</t>
  </si>
  <si>
    <t>IS_EPS</t>
  </si>
  <si>
    <t>Basic EPS, GAAP</t>
  </si>
  <si>
    <t>Basic Weighted Avg Shares</t>
  </si>
  <si>
    <t>XO_GL_NET_OF_TAX</t>
  </si>
  <si>
    <t xml:space="preserve">  Net Extraordinary Losses (Gains)</t>
  </si>
  <si>
    <t>IS_NET_ABNORMAL_ITEMS</t>
  </si>
  <si>
    <t xml:space="preserve">  Net Abnormal Losses (Gains)</t>
  </si>
  <si>
    <t>Net Income Avail to Common, Adj</t>
  </si>
  <si>
    <t>Net Income Avail to Common, GAAP</t>
  </si>
  <si>
    <t>OTHER_ADJUSTMENTS</t>
  </si>
  <si>
    <t xml:space="preserve">  - Other Adjustments</t>
  </si>
  <si>
    <t xml:space="preserve">  - Preferred Dividends</t>
  </si>
  <si>
    <t>NET_INCOME</t>
  </si>
  <si>
    <t>Net Income, GAAP</t>
  </si>
  <si>
    <t xml:space="preserve">  - Minority Interest</t>
  </si>
  <si>
    <t>NI_INCLUDING_MINORITY_INT_RATIO</t>
  </si>
  <si>
    <t>Income (Loss) Incl. MI</t>
  </si>
  <si>
    <t>EXTRAORD_ITEMS_ACCOUNTING_CHANGS</t>
  </si>
  <si>
    <t xml:space="preserve">    + XO &amp; Accounting Changes</t>
  </si>
  <si>
    <t>IS_DISCONTINUED_OPERATIONS</t>
  </si>
  <si>
    <t xml:space="preserve">    + Discontinued Operations</t>
  </si>
  <si>
    <t xml:space="preserve">  - Net Extraordinary Losses (Gains)</t>
  </si>
  <si>
    <t>Income (Loss) from Cont Ops</t>
  </si>
  <si>
    <t>IS_DEFERRED_INCOME_TAX_BENEFIT</t>
  </si>
  <si>
    <t xml:space="preserve">    + Deferred Income Tax</t>
  </si>
  <si>
    <t>IS_CURRENT_INCOME_TAX_BENEFIT</t>
  </si>
  <si>
    <t xml:space="preserve">    + Current Income Tax</t>
  </si>
  <si>
    <t xml:space="preserve">  - Income Tax Expense (Benefit)</t>
  </si>
  <si>
    <t>Pretax Income (Loss), GAAP</t>
  </si>
  <si>
    <t>IS_OTHER_ONE_TIME_ITEMS</t>
  </si>
  <si>
    <t xml:space="preserve">    + Other Abnormal Items</t>
  </si>
  <si>
    <t>IS_RESTRUCTURING_EXPENSES</t>
  </si>
  <si>
    <t xml:space="preserve">    + Restructuring</t>
  </si>
  <si>
    <t>IS_LEGAL_LITIGATION_SETTLEMENT</t>
  </si>
  <si>
    <t xml:space="preserve">    + Legal Settlement</t>
  </si>
  <si>
    <t>IS_IMPAIR_OF_INTANG_ASSETS</t>
  </si>
  <si>
    <t xml:space="preserve">    + Impairment of Intangibles</t>
  </si>
  <si>
    <t>IS_IMPAIRMENT_GOODWILL_INTANGIBL</t>
  </si>
  <si>
    <t xml:space="preserve">    + Impairment of Goodwill</t>
  </si>
  <si>
    <t xml:space="preserve">    + Merger/Acquisition Expense</t>
  </si>
  <si>
    <t>IS_ABNORMAL_ITEM</t>
  </si>
  <si>
    <t xml:space="preserve">  - Abnormal Losses (Gains)</t>
  </si>
  <si>
    <t>Pretax Income (Loss), Adjusted</t>
  </si>
  <si>
    <t>IS_OTHER_NON_OPERATING_INC_LOSS</t>
  </si>
  <si>
    <t xml:space="preserve">    + Other Non-Op (Income) Loss</t>
  </si>
  <si>
    <t xml:space="preserve">    + Foreign Exch (Gain) Loss</t>
  </si>
  <si>
    <t xml:space="preserve">    - Interest Income</t>
  </si>
  <si>
    <t xml:space="preserve">    + Interest Expense</t>
  </si>
  <si>
    <t xml:space="preserve">    + Interest Expense, Net</t>
  </si>
  <si>
    <t>IS_NONOP_INCOME_LOSS</t>
  </si>
  <si>
    <t xml:space="preserve">  - Non-Operating (Income) Loss</t>
  </si>
  <si>
    <t>Operating Income (Loss)</t>
  </si>
  <si>
    <t>IS_OTHER_OPERATING_EXPENSES</t>
  </si>
  <si>
    <t xml:space="preserve">    + Other Operating Expense</t>
  </si>
  <si>
    <t>IS_OPERATING_EXPENSES_RD</t>
  </si>
  <si>
    <t xml:space="preserve">    + Research &amp; Development</t>
  </si>
  <si>
    <t>IS_SGA_EXPENSE</t>
  </si>
  <si>
    <t xml:space="preserve">    + Selling, General &amp; Admin</t>
  </si>
  <si>
    <t xml:space="preserve">  - Operating Expenses</t>
  </si>
  <si>
    <t>IS_OTHER_OPER_INC</t>
  </si>
  <si>
    <t xml:space="preserve">  + Other Operating Income</t>
  </si>
  <si>
    <t>IS_COG_AND_SERVICES_SOLD</t>
  </si>
  <si>
    <t xml:space="preserve">    + Cost of Goods &amp; Services</t>
  </si>
  <si>
    <t xml:space="preserve">  - Cost of Revenue</t>
  </si>
  <si>
    <t>IS_SALES_AND_SERVICES_REVENUES</t>
  </si>
  <si>
    <t xml:space="preserve">    + Sales &amp; Services Revenue</t>
  </si>
  <si>
    <t>Last 12M</t>
  </si>
  <si>
    <t>In Millions of USD except Per Share</t>
  </si>
  <si>
    <t>Stryker Corp (SYK US) - BBG Adjusted</t>
  </si>
  <si>
    <t>NUM_OF_EMPLOYEES</t>
  </si>
  <si>
    <t>Number of Employees</t>
  </si>
  <si>
    <t>BS_CASH_HELD_OVERSEAS</t>
  </si>
  <si>
    <t>Cash Held Overseas</t>
  </si>
  <si>
    <t>Cash Conversion Cycle</t>
  </si>
  <si>
    <t>TCE_RATIO</t>
  </si>
  <si>
    <t>Tangible Common Equity Ratio</t>
  </si>
  <si>
    <t>NET_DEBT_TO_SHRHLDR_EQTY</t>
  </si>
  <si>
    <t>Net Debt to Equity</t>
  </si>
  <si>
    <t>Net Debt</t>
  </si>
  <si>
    <t>BS_OPTIONS_OUTSTANDING</t>
  </si>
  <si>
    <t>Options Outstanding at Period End</t>
  </si>
  <si>
    <t>BS_OPTIONS_GRANTED</t>
  </si>
  <si>
    <t>Options Granted During Period</t>
  </si>
  <si>
    <t>BS_TOTAL_CAPITAL_LEASES</t>
  </si>
  <si>
    <t>Capital Leases - Total</t>
  </si>
  <si>
    <t>BS_FUTURE_MIN_OPER_LEASE_OBLIG</t>
  </si>
  <si>
    <t>Future Minimum Operating Lease Obligations</t>
  </si>
  <si>
    <t>BS_PENSION_RSRV</t>
  </si>
  <si>
    <t>Pension Obligations</t>
  </si>
  <si>
    <t>BS_NUM_OF_TSY_SH</t>
  </si>
  <si>
    <t>Number of Treasury Shares</t>
  </si>
  <si>
    <t>BS_SH_OUT</t>
  </si>
  <si>
    <t>Shares Outstanding</t>
  </si>
  <si>
    <t>TOT_LIAB_AND_EQY</t>
  </si>
  <si>
    <t>Total Liabilities &amp; Equity</t>
  </si>
  <si>
    <t>TOTAL_EQUITY</t>
  </si>
  <si>
    <t>Total Equity</t>
  </si>
  <si>
    <t xml:space="preserve">  + Minority/Non Controlling Interest</t>
  </si>
  <si>
    <t>EQTY_BEF_MINORITY_INT_DETAILED</t>
  </si>
  <si>
    <t>Equity Before Minority Interest</t>
  </si>
  <si>
    <t>OTHER_EQUITY_RATIO</t>
  </si>
  <si>
    <t xml:space="preserve">  + Other Equity</t>
  </si>
  <si>
    <t xml:space="preserve">  + Retained Earnings</t>
  </si>
  <si>
    <t xml:space="preserve">  - Treasury Stock</t>
  </si>
  <si>
    <t xml:space="preserve">    + Additional Paid in Capital</t>
  </si>
  <si>
    <t xml:space="preserve">    + Common Stock</t>
  </si>
  <si>
    <t xml:space="preserve">  + Share Capital &amp; APIC</t>
  </si>
  <si>
    <t>PFD_EQTY_HYBRID_CAPITAL</t>
  </si>
  <si>
    <t xml:space="preserve">  + Preferred Equity and Hybrid Capital</t>
  </si>
  <si>
    <t>BS_TOT_LIAB2</t>
  </si>
  <si>
    <t>NON_CUR_LIAB</t>
  </si>
  <si>
    <t>Total Noncurrent Liabilities</t>
  </si>
  <si>
    <t>OTHER_NONCURRENT_LIABS_DETAILED</t>
  </si>
  <si>
    <t xml:space="preserve">    + Misc LT Liabilities</t>
  </si>
  <si>
    <t>BS_DERIV_HEDGING_LIAB_LT</t>
  </si>
  <si>
    <t xml:space="preserve">    + Derivatives &amp; Hedging</t>
  </si>
  <si>
    <t xml:space="preserve">    + Deferred Tax Liabilities</t>
  </si>
  <si>
    <t>LT_DEFERRED_REVENUE</t>
  </si>
  <si>
    <t xml:space="preserve">    + Deferred Revenue</t>
  </si>
  <si>
    <t xml:space="preserve">    + Pension Liabilities</t>
  </si>
  <si>
    <t>BS_ACCRUED_LIABILITIES</t>
  </si>
  <si>
    <t xml:space="preserve">    + Accrued Liabilities</t>
  </si>
  <si>
    <t xml:space="preserve">  + Other LT Liabilities</t>
  </si>
  <si>
    <t xml:space="preserve">      + LT Operating Leases</t>
  </si>
  <si>
    <t>LT_CAPITAL_LEASE_OBLIGATIONS</t>
  </si>
  <si>
    <t xml:space="preserve">      + LT Finance Leases</t>
  </si>
  <si>
    <t>LT_CAPITALIZED_LEASE_LIABILITIES</t>
  </si>
  <si>
    <t xml:space="preserve">    + LT Lease Liabilities</t>
  </si>
  <si>
    <t>LONG_TERM_BORROWINGS_DETAILED</t>
  </si>
  <si>
    <t xml:space="preserve">    + LT Borrowings</t>
  </si>
  <si>
    <t>BS_LT_BORROW</t>
  </si>
  <si>
    <t xml:space="preserve">  + LT Debt</t>
  </si>
  <si>
    <t>Total Current Liabilities</t>
  </si>
  <si>
    <t>OTHER_CURRENT_LIABS_DETAILED</t>
  </si>
  <si>
    <t xml:space="preserve">    + Misc ST Liabilities</t>
  </si>
  <si>
    <t>BS_DERIV_HEDGING_LIAB_ST</t>
  </si>
  <si>
    <t>ST_DEFERRED_REVENUE</t>
  </si>
  <si>
    <t>OTHER_CURRENT_LIABS_SUB_DETAILED</t>
  </si>
  <si>
    <t xml:space="preserve">  + Other ST Liabilities</t>
  </si>
  <si>
    <t xml:space="preserve">    + Current Portion of LT Debt</t>
  </si>
  <si>
    <t>BS_ST_OPERATING_LEASE_LIABS</t>
  </si>
  <si>
    <t xml:space="preserve">      + ST Operating Leases</t>
  </si>
  <si>
    <t>ST_CAPITAL_LEASE_OBLIGATIONS</t>
  </si>
  <si>
    <t xml:space="preserve">      + ST Finance Leases</t>
  </si>
  <si>
    <t>ST_CAPITALIZED_LEASE_LIABILITIES</t>
  </si>
  <si>
    <t xml:space="preserve">    + ST Lease Liabilities</t>
  </si>
  <si>
    <t>SHORT_TERM_DEBT_DETAILED</t>
  </si>
  <si>
    <t xml:space="preserve">    + ST Borrowings</t>
  </si>
  <si>
    <t>BS_ST_BORROW</t>
  </si>
  <si>
    <t xml:space="preserve">  + ST Debt</t>
  </si>
  <si>
    <t xml:space="preserve">    + Other Payables &amp; Accruals</t>
  </si>
  <si>
    <t>INTEREST_DIVIDENDS_PAYABLE</t>
  </si>
  <si>
    <t xml:space="preserve">    + Interest &amp; Dividends Payable</t>
  </si>
  <si>
    <t xml:space="preserve">    + Accrued Taxes</t>
  </si>
  <si>
    <t xml:space="preserve">    + Accounts Payable</t>
  </si>
  <si>
    <t>ACCT_PAYABLE_ACCRUALS_DETAILED</t>
  </si>
  <si>
    <t xml:space="preserve">  + Payables &amp; Accruals</t>
  </si>
  <si>
    <t>Liabilities &amp; Shareholders' Equity</t>
  </si>
  <si>
    <t>BS_TOT_NON_CUR_ASSET</t>
  </si>
  <si>
    <t>Total Noncurrent Assets</t>
  </si>
  <si>
    <t>OTHER_NONCURRENT_ASSETS_DETAILED</t>
  </si>
  <si>
    <t xml:space="preserve">    + Misc LT Assets</t>
  </si>
  <si>
    <t>BS_PREPAID_PENSION_COSTS_LT</t>
  </si>
  <si>
    <t xml:space="preserve">    + Prepaid Pension Costs</t>
  </si>
  <si>
    <t>BS_DERIV_HEDGING_ASST_LT</t>
  </si>
  <si>
    <t xml:space="preserve">    + Derivative &amp; Hedging Assets</t>
  </si>
  <si>
    <t xml:space="preserve">    + Deferred Tax Assets</t>
  </si>
  <si>
    <t>OTHER_INTANGIBLE_ASSETS_DETAILED</t>
  </si>
  <si>
    <t xml:space="preserve">    + Other Intangible Assets</t>
  </si>
  <si>
    <t xml:space="preserve">    + Goodwill</t>
  </si>
  <si>
    <t xml:space="preserve">    + Total Intangible Assets</t>
  </si>
  <si>
    <t>BS_OTHER_ASSETS_DEF_CHRG_OTHER</t>
  </si>
  <si>
    <t xml:space="preserve">  + Other LT Assets</t>
  </si>
  <si>
    <t xml:space="preserve">  + LT Investments &amp; Receivables</t>
  </si>
  <si>
    <t xml:space="preserve">    - Accumulated Depreciation</t>
  </si>
  <si>
    <t>BS_GROSS_FIX_ASSET</t>
  </si>
  <si>
    <t xml:space="preserve">    + Property, Plant &amp; Equip</t>
  </si>
  <si>
    <t>BS_NET_FIX_ASSET</t>
  </si>
  <si>
    <t xml:space="preserve">  + Property, Plant &amp; Equip, Net</t>
  </si>
  <si>
    <t>Total Current Assets</t>
  </si>
  <si>
    <t xml:space="preserve">    + Misc ST Assets</t>
  </si>
  <si>
    <t>BS_DEFERRED_TAX_ASSETS_ST</t>
  </si>
  <si>
    <t>BS_DERIV_HEDGING_ASST_ST</t>
  </si>
  <si>
    <t xml:space="preserve">  + Other ST Assets</t>
  </si>
  <si>
    <t>BS_OTHER_INV</t>
  </si>
  <si>
    <t xml:space="preserve">    + Other Inventory</t>
  </si>
  <si>
    <t>INVTRY_FINISHED_GOODS</t>
  </si>
  <si>
    <t xml:space="preserve">    + Finished Goods</t>
  </si>
  <si>
    <t>INVTRY_IN_PROGRESS</t>
  </si>
  <si>
    <t xml:space="preserve">    + Work In Process</t>
  </si>
  <si>
    <t>INVTRY_RAW_MATERIALS</t>
  </si>
  <si>
    <t xml:space="preserve">    + Raw Materials</t>
  </si>
  <si>
    <t xml:space="preserve">  + Inventories</t>
  </si>
  <si>
    <t>NOTES_RECEIVABLE</t>
  </si>
  <si>
    <t xml:space="preserve">    + Notes Receivable, Net</t>
  </si>
  <si>
    <t xml:space="preserve">    + Accounts Receivable, Net</t>
  </si>
  <si>
    <t>BS_ACCT_NOTE_RCV</t>
  </si>
  <si>
    <t xml:space="preserve">  + Accounts &amp; Notes Receiv</t>
  </si>
  <si>
    <t xml:space="preserve">    + ST Investments</t>
  </si>
  <si>
    <t xml:space="preserve">    + Cash &amp; Cash Equivalents</t>
  </si>
  <si>
    <t>CASH_CASH_EQTY_STI_DETAILED</t>
  </si>
  <si>
    <t xml:space="preserve">  + Cash, Cash Equivalents &amp; STI</t>
  </si>
  <si>
    <t>12/31/2018</t>
  </si>
  <si>
    <t>12/31/2017</t>
  </si>
  <si>
    <t>12/31/2016</t>
  </si>
  <si>
    <t>FY 2018</t>
  </si>
  <si>
    <t>FY 2017</t>
  </si>
  <si>
    <t>FY 2016</t>
  </si>
  <si>
    <t>Stryker Corp (SYK US) - Standardized</t>
  </si>
  <si>
    <t>CASH_FLOW_TO_NET_INC</t>
  </si>
  <si>
    <t>Cash Flow to Net Income</t>
  </si>
  <si>
    <t>PX_TO_FREE_CASH_FLOW</t>
  </si>
  <si>
    <t>Price to Free Cash Flow</t>
  </si>
  <si>
    <t>FREE_CASH_FLOW_PER_SH</t>
  </si>
  <si>
    <t>Free Cash Flow per Basic Share</t>
  </si>
  <si>
    <t>FREE_CASH_FLOW_EQUITY</t>
  </si>
  <si>
    <t>Free Cash Flow to Equity</t>
  </si>
  <si>
    <t>CF_FREE_CASH_FLOW_FIRM</t>
  </si>
  <si>
    <t>Free Cash Flow to Firm</t>
  </si>
  <si>
    <t>CF_NET_CASH_PAID_FOR_AQUIS</t>
  </si>
  <si>
    <t>Net Cash Paid for Acquisitions</t>
  </si>
  <si>
    <t>Trailing 12M EBITDA Margin</t>
  </si>
  <si>
    <t>CF_ACT_CASH_PAID_FOR_INT_DEBT</t>
  </si>
  <si>
    <t>Cash Paid for Interest</t>
  </si>
  <si>
    <t>CF_CASH_PAID_FOR_TAX</t>
  </si>
  <si>
    <t>Cash Paid for Taxes</t>
  </si>
  <si>
    <t>Net Changes in Cash</t>
  </si>
  <si>
    <t xml:space="preserve">  Effect of Foreign Exchange Rates</t>
  </si>
  <si>
    <t>CFF_ACTIVITIES_DETAILED</t>
  </si>
  <si>
    <t>CF_NET_CASH_DISCONTINUED_OPS_FIN</t>
  </si>
  <si>
    <t xml:space="preserve">  + Net Cash From Disc Ops</t>
  </si>
  <si>
    <t>OTHER_FIN_AND_DEC_CAP</t>
  </si>
  <si>
    <t xml:space="preserve">  + Other Financing Activities</t>
  </si>
  <si>
    <t xml:space="preserve">    + Decrease in Capital Stock</t>
  </si>
  <si>
    <t xml:space="preserve">    + Increase in Capital Stock</t>
  </si>
  <si>
    <t>PROC_FR_REPURCH_EQTY_DETAILED</t>
  </si>
  <si>
    <t xml:space="preserve">  + Cash (Repurchase) of Equity</t>
  </si>
  <si>
    <t>CF_LT_DEBT_CAP_LEAS_PAYMENT</t>
  </si>
  <si>
    <t xml:space="preserve">    + Repayments of LT Debt</t>
  </si>
  <si>
    <t>CF_LT_DEBT_CAP_LEAS_PROCEEDS</t>
  </si>
  <si>
    <t xml:space="preserve">    + Cash From LT Debt</t>
  </si>
  <si>
    <t>CF_NET_CHG_ST_DEBT_CPTL_LEAS</t>
  </si>
  <si>
    <t xml:space="preserve">    + Cash From (Repay) ST Debt</t>
  </si>
  <si>
    <t xml:space="preserve">  + Cash From (Repayment) Debt</t>
  </si>
  <si>
    <t xml:space="preserve">  + Dividends Paid</t>
  </si>
  <si>
    <t>CF_NET_CASH_DISCONTINUED_OPS_INV</t>
  </si>
  <si>
    <t xml:space="preserve">  + Other Investing Activities</t>
  </si>
  <si>
    <t>CF_CASH_FOR_JOINT_VENTURES_ASSOC</t>
  </si>
  <si>
    <t xml:space="preserve">    + Cash for JVs</t>
  </si>
  <si>
    <t xml:space="preserve">    + Cash for Acq of Subs</t>
  </si>
  <si>
    <t xml:space="preserve">    + Cash from Divestitures</t>
  </si>
  <si>
    <t>CF_NT_CSH_RCVD_PD_FOR_ACQUIS_DIV</t>
  </si>
  <si>
    <t xml:space="preserve">  + Net Cash From Acq &amp; Div</t>
  </si>
  <si>
    <t>CF_INCR_INVEST</t>
  </si>
  <si>
    <t xml:space="preserve">    + Inc in LT Investment</t>
  </si>
  <si>
    <t>CF_DECR_INVEST</t>
  </si>
  <si>
    <t xml:space="preserve">    + Dec in LT Investment</t>
  </si>
  <si>
    <t>NET_CHG_IN_LT_INVEST_DETAILED</t>
  </si>
  <si>
    <t xml:space="preserve">  + Net Change in LT Investment</t>
  </si>
  <si>
    <t>CF_ACQUISITION_OF_INTANG_ASSETS</t>
  </si>
  <si>
    <t xml:space="preserve">    + Acq of Intangible Assets</t>
  </si>
  <si>
    <t>CF_PURCHASE_OF_FIXED_PROD_ASSETS</t>
  </si>
  <si>
    <t xml:space="preserve">    + Acq of Fixed Prod Assets</t>
  </si>
  <si>
    <t>ACQUIS_OF_FIXED_INTANG</t>
  </si>
  <si>
    <t xml:space="preserve">    + Acq of Fixed &amp; Intang</t>
  </si>
  <si>
    <t>CF_DISPOSAL_OF_INTANGIBLE_ASSETS</t>
  </si>
  <si>
    <t xml:space="preserve">    + Disp of Intangible Assets</t>
  </si>
  <si>
    <t xml:space="preserve">    + Disp of Fixed Prod Assets</t>
  </si>
  <si>
    <t>DISPOSAL_OF_FIXED_INTANG</t>
  </si>
  <si>
    <t xml:space="preserve">    + Disp in Fixed &amp; Intang</t>
  </si>
  <si>
    <t>FIXED_INTANG_ASST_CHANGE</t>
  </si>
  <si>
    <t xml:space="preserve">  + Change in Fixed &amp; Intang</t>
  </si>
  <si>
    <t>CF_NET_CASH_DISCONT_OPS_OPER</t>
  </si>
  <si>
    <t>INC_DEC_IN_OT_OP_AST_LIAB_DETAIL</t>
  </si>
  <si>
    <t xml:space="preserve">    + Inc (Dec) in Other</t>
  </si>
  <si>
    <t xml:space="preserve">    + Inc (Dec) in Accts Payable</t>
  </si>
  <si>
    <t xml:space="preserve">    + (Inc) Dec in Inventories</t>
  </si>
  <si>
    <t xml:space="preserve">    + (Inc) Dec in Accts Receiv</t>
  </si>
  <si>
    <t xml:space="preserve">  + Chg in Non-Cash Work Cap</t>
  </si>
  <si>
    <t>OTHER_NON_CASH_ADJ_LESS_DETAILED</t>
  </si>
  <si>
    <t xml:space="preserve">    + Other Non-Cash Adj</t>
  </si>
  <si>
    <t xml:space="preserve">    + Deferred Income Taxes</t>
  </si>
  <si>
    <t xml:space="preserve">    + Stock-Based Compensation</t>
  </si>
  <si>
    <t>NON_CASH_ITEMS_DETAILED</t>
  </si>
  <si>
    <t xml:space="preserve">  + Non-Cash Items</t>
  </si>
  <si>
    <t xml:space="preserve">  + Depreciation &amp; Amortization</t>
  </si>
  <si>
    <t xml:space="preserve">  + Net Income</t>
  </si>
  <si>
    <t>SUSTAIN_GROWTH_RT</t>
  </si>
  <si>
    <t>Sustainable Growth Rate</t>
  </si>
  <si>
    <t>DVD_PAYOUT_RATIO</t>
  </si>
  <si>
    <t>Dvd Payout Ratio</t>
  </si>
  <si>
    <t>Effective Tax Rate</t>
  </si>
  <si>
    <t>Additional</t>
  </si>
  <si>
    <t>Net Income to Common Margin</t>
  </si>
  <si>
    <t>Net Income Margin</t>
  </si>
  <si>
    <t>INC_BEF_XO_ITEMS_TO_NET_SALES</t>
  </si>
  <si>
    <t>Income before XO Margin</t>
  </si>
  <si>
    <t>PRETAX_INC_TO_NET_SALES</t>
  </si>
  <si>
    <t>Pretax Margin</t>
  </si>
  <si>
    <t>INCREMENTAL_OPERATING_MARGIN</t>
  </si>
  <si>
    <t>Incremental Operating Margin</t>
  </si>
  <si>
    <t>EBITDA Margin</t>
  </si>
  <si>
    <t>Margins</t>
  </si>
  <si>
    <t>RETURN_ON_INV_CAPITAL</t>
  </si>
  <si>
    <t>Return on Invested Capital</t>
  </si>
  <si>
    <t>RETURN_ON_CAP</t>
  </si>
  <si>
    <t>Return on Capital</t>
  </si>
  <si>
    <t>Return on Assets</t>
  </si>
  <si>
    <t>Return on Common Equity</t>
  </si>
  <si>
    <t>Returns</t>
  </si>
  <si>
    <t>Stryker Corp (SYK US) - Profitability</t>
  </si>
  <si>
    <t>SEG0000173699 Segment</t>
  </si>
  <si>
    <t>SEG0000173667 Segment</t>
  </si>
  <si>
    <t xml:space="preserve">      Orthopaedics</t>
  </si>
  <si>
    <t>SEG0000173648 Segment</t>
  </si>
  <si>
    <t xml:space="preserve">      Neurotechnology &amp; Spine</t>
  </si>
  <si>
    <t xml:space="preserve">    Inactive Segments</t>
  </si>
  <si>
    <t xml:space="preserve">      % of Total</t>
  </si>
  <si>
    <t xml:space="preserve">  Goodwill</t>
  </si>
  <si>
    <t>IM168</t>
  </si>
  <si>
    <t>IS_CAPEX_AS_REPORTED</t>
  </si>
  <si>
    <t>SEG0000331771 Segment</t>
  </si>
  <si>
    <t xml:space="preserve">      Physical Therapy Services</t>
  </si>
  <si>
    <t>SEG0000173709 Segment</t>
  </si>
  <si>
    <t xml:space="preserve">      Corporate &amp; Other</t>
  </si>
  <si>
    <t>SEG0000173654 Segment</t>
  </si>
  <si>
    <t xml:space="preserve">      Orthopedic Implants</t>
  </si>
  <si>
    <t xml:space="preserve">  Capital Expenditures As Reported</t>
  </si>
  <si>
    <t>IC214</t>
  </si>
  <si>
    <t>IS_PERCENTAGE_OF_REVENUE</t>
  </si>
  <si>
    <t xml:space="preserve">  Percentage of Revenue</t>
  </si>
  <si>
    <t xml:space="preserve">        % of Total</t>
  </si>
  <si>
    <t>IS050</t>
  </si>
  <si>
    <t>SEG1498846643 Segment</t>
  </si>
  <si>
    <t xml:space="preserve">    Adjustment</t>
  </si>
  <si>
    <t xml:space="preserve">  Net Income/Net Profit (Losses)</t>
  </si>
  <si>
    <t xml:space="preserve">  Operating Income or Losses</t>
  </si>
  <si>
    <t>SEG0000173722 Segment</t>
  </si>
  <si>
    <t>M6105</t>
  </si>
  <si>
    <t>RAW_MATERIAL_CONSUMPT_IN_UNITS</t>
  </si>
  <si>
    <t xml:space="preserve">    Mako Robot Unit</t>
  </si>
  <si>
    <t xml:space="preserve">  Raw Material Consumption in Units</t>
  </si>
  <si>
    <t>M6096</t>
  </si>
  <si>
    <t>NUMBER_OF_UNITS_SOLD</t>
  </si>
  <si>
    <t xml:space="preserve">  Number of Units Sold</t>
  </si>
  <si>
    <t>M6098</t>
  </si>
  <si>
    <t>VOLUME_AND_MIX_CHANGE_PERCENTAGE</t>
  </si>
  <si>
    <t xml:space="preserve">  Volume and Mix Change Percentage</t>
  </si>
  <si>
    <t xml:space="preserve">  Organic Growth Rate</t>
  </si>
  <si>
    <t>SEG0000173726 Segment</t>
  </si>
  <si>
    <t xml:space="preserve">      Micro Implant</t>
  </si>
  <si>
    <t>SEG0000173661 Segment</t>
  </si>
  <si>
    <t xml:space="preserve">      Sustainability</t>
  </si>
  <si>
    <t>SEG0000173633 Segment</t>
  </si>
  <si>
    <t xml:space="preserve">      Craniomaxillofacial</t>
  </si>
  <si>
    <t>SEG0000173682 Segment</t>
  </si>
  <si>
    <t xml:space="preserve">      Trauma</t>
  </si>
  <si>
    <t>SEG0000173705 Segment</t>
  </si>
  <si>
    <t xml:space="preserve">      Neurotechnology</t>
  </si>
  <si>
    <t xml:space="preserve">    Spine</t>
  </si>
  <si>
    <t>SEG0000608251 Segment</t>
  </si>
  <si>
    <t xml:space="preserve">  1 Yr Revenue Growth: Constant Currency</t>
  </si>
  <si>
    <t>FY 2027</t>
  </si>
  <si>
    <t>FY 2026</t>
  </si>
  <si>
    <t>Ortho % of Rev</t>
  </si>
  <si>
    <t>MedSurg % of Rev</t>
  </si>
  <si>
    <t>EV ($M)</t>
  </si>
  <si>
    <t>FCF ($M)</t>
  </si>
  <si>
    <t>Adj EPS</t>
  </si>
  <si>
    <t>Net Income Adj ($M)</t>
  </si>
  <si>
    <t>EBITDA Margin %</t>
  </si>
  <si>
    <t>EBITDA Adj ($M)</t>
  </si>
  <si>
    <t>Gross Margin %</t>
  </si>
  <si>
    <t>YoY Growth %</t>
  </si>
  <si>
    <t>Revenue Adj ($M)</t>
  </si>
  <si>
    <t>Year</t>
  </si>
  <si>
    <t>Extracted Bloomberg Valuations</t>
  </si>
  <si>
    <t>In Millions USD</t>
  </si>
  <si>
    <t>Diluted Shares</t>
  </si>
  <si>
    <t>Imp. Share Price</t>
  </si>
  <si>
    <t>Current Share Price</t>
  </si>
  <si>
    <t>Valuation</t>
  </si>
  <si>
    <t>Equity ($M)</t>
  </si>
  <si>
    <t>Bloomberg Evaluation Approx.</t>
  </si>
  <si>
    <t>Manually Calc'd WACC &amp; 3% Terminal Growth</t>
  </si>
  <si>
    <t>FY 2028</t>
  </si>
  <si>
    <t>FY 2029</t>
  </si>
  <si>
    <t>FY 2030</t>
  </si>
  <si>
    <t>EBIT ($M)</t>
  </si>
  <si>
    <t>NOPAT ($M)</t>
  </si>
  <si>
    <t>CapEx %</t>
  </si>
  <si>
    <t>Quick Personal Evaluation Approx.</t>
  </si>
  <si>
    <t>Quick Personal Future Evaluation Approx.</t>
  </si>
  <si>
    <t>FY 2031</t>
  </si>
  <si>
    <t>NWC ($M)</t>
  </si>
  <si>
    <t>NWC %</t>
  </si>
  <si>
    <t>∆ NWC</t>
  </si>
  <si>
    <t>Net Debt ($M)</t>
  </si>
  <si>
    <t>Simple Forward Snapshot (2027)</t>
  </si>
  <si>
    <t>Advanced Forward Snapshot (2026 - 2031)</t>
  </si>
  <si>
    <t>In-depth Personal Future Evaluation Approx.</t>
  </si>
  <si>
    <t>Simple Current Snapshot (2026 - 2027)</t>
  </si>
  <si>
    <t>PVs ($M)</t>
  </si>
  <si>
    <t>TV ($M)</t>
  </si>
  <si>
    <t>Row Labels</t>
  </si>
  <si>
    <t>Stryker Corporation DCF Evaluation</t>
  </si>
  <si>
    <t>Harris Waseem</t>
  </si>
  <si>
    <t>March - May 9th, 2026</t>
  </si>
  <si>
    <t>Table of Contents</t>
  </si>
  <si>
    <t>TVs ($M)</t>
  </si>
  <si>
    <t>PV(TVs) ($M)</t>
  </si>
  <si>
    <t>PV(FCF) ($M)</t>
  </si>
  <si>
    <t>Personal DCF Valuation</t>
  </si>
  <si>
    <t>Competitors</t>
  </si>
  <si>
    <t>BUS 341W &amp; CSCI 48</t>
  </si>
  <si>
    <t>Luc Marest, Matthew Fried, Shu Yuan Wu</t>
  </si>
  <si>
    <t>Average of SYK</t>
  </si>
  <si>
    <t>Average of JNJ</t>
  </si>
  <si>
    <t>Average of EW</t>
  </si>
  <si>
    <t>Average of ABT</t>
  </si>
  <si>
    <t>Average of BSX</t>
  </si>
  <si>
    <t>I have to paste S&amp;P values since some European stock keeps populating.</t>
  </si>
  <si>
    <t>Rule of 40</t>
  </si>
  <si>
    <t>Bloomberg</t>
  </si>
  <si>
    <t>Average of EBITDA Margin %</t>
  </si>
  <si>
    <t>Average of YoY Growth %</t>
  </si>
  <si>
    <t>Average of MedSurg % of Rev</t>
  </si>
  <si>
    <t>Average of Ortho % of Rev</t>
  </si>
  <si>
    <t>Average of CapEx %</t>
  </si>
  <si>
    <t>Average of NWC %</t>
  </si>
  <si>
    <t>Average of Net Debt ($M)</t>
  </si>
  <si>
    <t>Average of Equity ($M)</t>
  </si>
  <si>
    <t>Select below:</t>
  </si>
  <si>
    <t>Sum of Equity - Debt</t>
  </si>
  <si>
    <t>Minimum</t>
  </si>
  <si>
    <t>Maximum</t>
  </si>
  <si>
    <t>Average</t>
  </si>
  <si>
    <t>Median</t>
  </si>
  <si>
    <t>Standard Deviation</t>
  </si>
  <si>
    <t>Year Count</t>
  </si>
  <si>
    <t>Frequency</t>
  </si>
  <si>
    <t>Correl (EBITDA:Gross Margin)</t>
  </si>
  <si>
    <t>T-G</t>
  </si>
  <si>
    <t>WACC / Terminal</t>
  </si>
  <si>
    <t>Sensitivity Analysis (2026 - 2031)</t>
  </si>
  <si>
    <t>Advanced Filter</t>
  </si>
  <si>
    <t>Rank (1st Cell)</t>
  </si>
  <si>
    <t>Percent Rank (1st Cell)</t>
  </si>
  <si>
    <t>Quartile (1st Cell)</t>
  </si>
  <si>
    <t>NPVSolver (Set $27,317.21 to $20,498):</t>
  </si>
  <si>
    <t>Database Function</t>
  </si>
  <si>
    <t>&gt;20000</t>
  </si>
  <si>
    <t>&lt;10%</t>
  </si>
  <si>
    <t>DAVERAGE EPS for Criteria Above:</t>
  </si>
  <si>
    <t>DCOUNT</t>
  </si>
  <si>
    <t>DMAX</t>
  </si>
  <si>
    <t>DMIN</t>
  </si>
  <si>
    <t>DSUM</t>
  </si>
  <si>
    <t>SUMIFS EPS &gt;20000</t>
  </si>
  <si>
    <t>COUNTIFS</t>
  </si>
  <si>
    <t>AVERAGEIFS</t>
  </si>
  <si>
    <t>Red Circle = Trading Hours are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</si>
</sst>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0.0"/>
    <numFmt numFmtId="165" formatCode="&quot;$&quot;#,##0.00"/>
  </numFmts>
  <fonts count="36" x14ac:knownFonts="1">
    <font>
      <sz val="11"/>
      <color theme="1"/>
      <name val="Calibri"/>
      <family val="2"/>
      <scheme val="minor"/>
    </font>
    <font>
      <sz val="10"/>
      <color indexed="8"/>
      <name val="Arial"/>
      <family val="2"/>
    </font>
    <font>
      <sz val="10"/>
      <color indexed="63"/>
      <name val="Arial"/>
      <family val="2"/>
    </font>
    <font>
      <i/>
      <sz val="10"/>
      <color indexed="63"/>
      <name val="Arial"/>
      <family val="2"/>
    </font>
    <font>
      <b/>
      <sz val="16"/>
      <color indexed="9"/>
      <name val="Arial"/>
      <family val="2"/>
    </font>
    <font>
      <b/>
      <sz val="10"/>
      <color indexed="9"/>
      <name val="Arial"/>
      <family val="2"/>
    </font>
    <font>
      <sz val="10"/>
      <color indexed="63"/>
      <name val="Arial"/>
      <family val="2"/>
    </font>
    <font>
      <i/>
      <sz val="10"/>
      <color indexed="8"/>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sz val="8"/>
      <color rgb="FF000000"/>
      <name val="Segoe UI"/>
      <family val="2"/>
    </font>
    <font>
      <b/>
      <sz val="10"/>
      <color indexed="8"/>
      <name val="Arial"/>
      <family val="2"/>
    </font>
    <font>
      <sz val="10"/>
      <name val="Calibri"/>
      <family val="2"/>
    </font>
    <font>
      <b/>
      <sz val="11"/>
      <color indexed="9"/>
      <name val="Calibri"/>
      <family val="2"/>
    </font>
    <font>
      <sz val="8"/>
      <name val="Calibri"/>
      <family val="2"/>
      <scheme val="minor"/>
    </font>
    <font>
      <sz val="12"/>
      <color theme="1"/>
      <name val="Calibri"/>
      <family val="2"/>
      <scheme val="minor"/>
    </font>
    <font>
      <u/>
      <sz val="11"/>
      <color theme="10"/>
      <name val="Calibri"/>
      <family val="2"/>
      <scheme val="minor"/>
    </font>
    <font>
      <b/>
      <u/>
      <sz val="11"/>
      <color theme="1"/>
      <name val="Calibri"/>
      <family val="2"/>
      <scheme val="minor"/>
    </font>
    <font>
      <b/>
      <sz val="12"/>
      <color theme="1"/>
      <name val="Calibri"/>
      <family val="2"/>
      <scheme val="minor"/>
    </font>
    <font>
      <b/>
      <sz val="20"/>
      <color theme="1"/>
      <name val="Cambria"/>
      <family val="1"/>
      <scheme val="maj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4" tint="0.79998168889431442"/>
        <bgColor indexed="64"/>
      </patternFill>
    </fill>
    <fill>
      <patternFill patternType="solid">
        <fgColor rgb="FFD8D8D8"/>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gradientFill type="path" left="0.5" right="0.5" top="0.5" bottom="0.5">
        <stop position="0">
          <color theme="0"/>
        </stop>
        <stop position="1">
          <color theme="4"/>
        </stop>
      </gradientFill>
    </fill>
    <fill>
      <patternFill patternType="solid">
        <fgColor theme="8" tint="0.79998168889431442"/>
        <bgColor indexed="64"/>
      </patternFill>
    </fill>
    <fill>
      <patternFill patternType="solid">
        <fgColor theme="9" tint="0.39997558519241921"/>
        <bgColor indexed="64"/>
      </patternFill>
    </fill>
  </fills>
  <borders count="34">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double">
        <color auto="1"/>
      </left>
      <right style="double">
        <color auto="1"/>
      </right>
      <top style="double">
        <color auto="1"/>
      </top>
      <bottom style="double">
        <color auto="1"/>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double">
        <color auto="1"/>
      </left>
      <right style="double">
        <color auto="1"/>
      </right>
      <top style="thick">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75">
    <xf numFmtId="0" fontId="0" fillId="0" borderId="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24" fillId="12" borderId="0" applyNumberFormat="0" applyBorder="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9" borderId="0" applyNumberFormat="0" applyBorder="0" applyAlignment="0" applyProtection="0"/>
    <xf numFmtId="0" fontId="24" fillId="13" borderId="0" applyNumberFormat="0" applyBorder="0" applyAlignment="0" applyProtection="0"/>
    <xf numFmtId="0" fontId="24" fillId="17" borderId="0" applyNumberFormat="0" applyBorder="0" applyAlignment="0" applyProtection="0"/>
    <xf numFmtId="0" fontId="24" fillId="21" borderId="0" applyNumberFormat="0" applyBorder="0" applyAlignment="0" applyProtection="0"/>
    <xf numFmtId="0" fontId="24" fillId="25" borderId="0" applyNumberFormat="0" applyBorder="0" applyAlignment="0" applyProtection="0"/>
    <xf numFmtId="0" fontId="24" fillId="29" borderId="0" applyNumberFormat="0" applyBorder="0" applyAlignment="0" applyProtection="0"/>
    <xf numFmtId="0" fontId="14" fillId="3" borderId="0" applyNumberFormat="0" applyBorder="0" applyAlignment="0" applyProtection="0"/>
    <xf numFmtId="0" fontId="18" fillId="6" borderId="9" applyNumberFormat="0" applyAlignment="0" applyProtection="0"/>
    <xf numFmtId="0" fontId="20" fillId="7" borderId="12" applyNumberFormat="0" applyAlignment="0" applyProtection="0"/>
    <xf numFmtId="0" fontId="22" fillId="0" borderId="0" applyNumberFormat="0" applyFill="0" applyBorder="0" applyAlignment="0" applyProtection="0"/>
    <xf numFmtId="0" fontId="5" fillId="33" borderId="3">
      <alignment horizontal="left"/>
    </xf>
    <xf numFmtId="4" fontId="1" fillId="34" borderId="2"/>
    <xf numFmtId="0" fontId="7" fillId="35" borderId="4" applyNumberFormat="0" applyAlignment="0" applyProtection="0"/>
    <xf numFmtId="0" fontId="3" fillId="0" borderId="0"/>
    <xf numFmtId="0" fontId="6" fillId="34" borderId="5"/>
    <xf numFmtId="0" fontId="13" fillId="2" borderId="0" applyNumberFormat="0" applyBorder="0" applyAlignment="0" applyProtection="0"/>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6" fillId="5" borderId="9" applyNumberFormat="0" applyAlignment="0" applyProtection="0"/>
    <xf numFmtId="0" fontId="19" fillId="0" borderId="11" applyNumberFormat="0" applyFill="0" applyAlignment="0" applyProtection="0"/>
    <xf numFmtId="0" fontId="15" fillId="4" borderId="0" applyNumberFormat="0" applyBorder="0" applyAlignment="0" applyProtection="0"/>
    <xf numFmtId="0" fontId="8" fillId="8" borderId="13" applyNumberFormat="0" applyFont="0" applyAlignment="0" applyProtection="0"/>
    <xf numFmtId="0" fontId="17" fillId="6" borderId="10" applyNumberFormat="0" applyAlignment="0" applyProtection="0"/>
    <xf numFmtId="0" fontId="9" fillId="0" borderId="0" applyNumberFormat="0" applyFill="0" applyBorder="0" applyAlignment="0" applyProtection="0"/>
    <xf numFmtId="0" fontId="23" fillId="0" borderId="14" applyNumberFormat="0" applyFill="0" applyAlignment="0" applyProtection="0"/>
    <xf numFmtId="0" fontId="21" fillId="0" borderId="0" applyNumberFormat="0" applyFill="0" applyBorder="0" applyAlignment="0" applyProtection="0"/>
    <xf numFmtId="0" fontId="4" fillId="33" borderId="15" applyNumberFormat="0" applyProtection="0">
      <alignment horizontal="left" vertical="center" readingOrder="1"/>
    </xf>
    <xf numFmtId="0" fontId="5" fillId="33" borderId="1">
      <alignment horizontal="left"/>
    </xf>
    <xf numFmtId="4" fontId="1" fillId="34" borderId="2">
      <alignment horizontal="right"/>
    </xf>
    <xf numFmtId="0" fontId="5" fillId="33" borderId="16">
      <alignment horizontal="left"/>
    </xf>
    <xf numFmtId="0" fontId="5" fillId="33" borderId="17">
      <alignment horizontal="left"/>
    </xf>
    <xf numFmtId="0" fontId="2" fillId="34" borderId="18"/>
    <xf numFmtId="164" fontId="27" fillId="34" borderId="2">
      <alignment horizontal="right"/>
    </xf>
    <xf numFmtId="164" fontId="27" fillId="37" borderId="2">
      <alignment horizontal="right"/>
    </xf>
    <xf numFmtId="0" fontId="27" fillId="34" borderId="18"/>
    <xf numFmtId="3" fontId="27" fillId="34" borderId="2">
      <alignment horizontal="right"/>
    </xf>
    <xf numFmtId="3" fontId="27" fillId="37" borderId="2">
      <alignment horizontal="right"/>
    </xf>
    <xf numFmtId="4" fontId="7" fillId="34" borderId="2">
      <alignment horizontal="right"/>
    </xf>
    <xf numFmtId="4" fontId="7" fillId="37" borderId="2">
      <alignment horizontal="right"/>
    </xf>
    <xf numFmtId="0" fontId="3" fillId="34" borderId="18"/>
    <xf numFmtId="4" fontId="27" fillId="34" borderId="2">
      <alignment horizontal="right"/>
    </xf>
    <xf numFmtId="4" fontId="27" fillId="37" borderId="2">
      <alignment horizontal="right"/>
    </xf>
    <xf numFmtId="164" fontId="7" fillId="34" borderId="2">
      <alignment horizontal="right"/>
    </xf>
    <xf numFmtId="164" fontId="7" fillId="37" borderId="2">
      <alignment horizontal="right"/>
    </xf>
    <xf numFmtId="164" fontId="1" fillId="34" borderId="2">
      <alignment horizontal="right"/>
    </xf>
    <xf numFmtId="164" fontId="1" fillId="37" borderId="2">
      <alignment horizontal="right"/>
    </xf>
    <xf numFmtId="0" fontId="5" fillId="33" borderId="17">
      <alignment horizontal="right"/>
    </xf>
    <xf numFmtId="0" fontId="5" fillId="33" borderId="16">
      <alignment horizontal="right"/>
    </xf>
    <xf numFmtId="0" fontId="28" fillId="34" borderId="0" applyNumberFormat="0" applyBorder="0" applyProtection="0">
      <alignment horizontal="center"/>
    </xf>
    <xf numFmtId="0" fontId="29" fillId="33" borderId="0"/>
    <xf numFmtId="4" fontId="1" fillId="37" borderId="2">
      <alignment horizontal="right"/>
    </xf>
    <xf numFmtId="3" fontId="1" fillId="34" borderId="2">
      <alignment horizontal="right"/>
    </xf>
    <xf numFmtId="3" fontId="1" fillId="37" borderId="2">
      <alignment horizontal="right"/>
    </xf>
    <xf numFmtId="0" fontId="32" fillId="0" borderId="0" applyNumberFormat="0" applyFill="0" applyBorder="0" applyAlignment="0" applyProtection="0"/>
  </cellStyleXfs>
  <cellXfs count="112">
    <xf numFmtId="0" fontId="0" fillId="0" borderId="0" xfId="0"/>
    <xf numFmtId="0" fontId="4" fillId="33" borderId="15" xfId="47">
      <alignment horizontal="left" vertical="center" readingOrder="1"/>
    </xf>
    <xf numFmtId="0" fontId="3" fillId="0" borderId="0" xfId="32"/>
    <xf numFmtId="0" fontId="5" fillId="33" borderId="16" xfId="50">
      <alignment horizontal="left"/>
    </xf>
    <xf numFmtId="0" fontId="5" fillId="33" borderId="17" xfId="51">
      <alignment horizontal="left"/>
    </xf>
    <xf numFmtId="14" fontId="5" fillId="33" borderId="17" xfId="51" applyNumberFormat="1">
      <alignment horizontal="left"/>
    </xf>
    <xf numFmtId="0" fontId="2" fillId="34" borderId="18" xfId="52"/>
    <xf numFmtId="4" fontId="1" fillId="34" borderId="2" xfId="30"/>
    <xf numFmtId="4" fontId="1" fillId="34" borderId="2" xfId="49">
      <alignment horizontal="right"/>
    </xf>
    <xf numFmtId="0" fontId="7" fillId="35" borderId="4" xfId="31"/>
    <xf numFmtId="14" fontId="5" fillId="33" borderId="1" xfId="48" applyNumberFormat="1">
      <alignment horizontal="left"/>
    </xf>
    <xf numFmtId="0" fontId="5" fillId="33" borderId="3" xfId="29">
      <alignment horizontal="left"/>
    </xf>
    <xf numFmtId="0" fontId="5" fillId="33" borderId="1" xfId="48">
      <alignment horizontal="left"/>
    </xf>
    <xf numFmtId="0" fontId="2" fillId="34" borderId="5" xfId="33" applyFont="1"/>
    <xf numFmtId="44" fontId="0" fillId="0" borderId="0" xfId="0" applyNumberFormat="1"/>
    <xf numFmtId="10" fontId="0" fillId="0" borderId="0" xfId="0" applyNumberFormat="1"/>
    <xf numFmtId="14" fontId="0" fillId="0" borderId="0" xfId="0" applyNumberFormat="1"/>
    <xf numFmtId="2" fontId="0" fillId="0" borderId="0" xfId="0" applyNumberFormat="1"/>
    <xf numFmtId="0" fontId="0" fillId="0" borderId="0" xfId="0" applyAlignment="1">
      <alignment horizontal="right"/>
    </xf>
    <xf numFmtId="2" fontId="0" fillId="0" borderId="0" xfId="0" applyNumberFormat="1" applyAlignment="1">
      <alignment horizontal="right"/>
    </xf>
    <xf numFmtId="0" fontId="0" fillId="36" borderId="0" xfId="0" applyFill="1"/>
    <xf numFmtId="10" fontId="0" fillId="36" borderId="0" xfId="0" applyNumberFormat="1" applyFill="1"/>
    <xf numFmtId="164" fontId="27" fillId="34" borderId="2" xfId="53">
      <alignment horizontal="right"/>
    </xf>
    <xf numFmtId="164" fontId="27" fillId="37" borderId="2" xfId="54">
      <alignment horizontal="right"/>
    </xf>
    <xf numFmtId="0" fontId="27" fillId="34" borderId="18" xfId="55"/>
    <xf numFmtId="3" fontId="27" fillId="34" borderId="2" xfId="56">
      <alignment horizontal="right"/>
    </xf>
    <xf numFmtId="3" fontId="27" fillId="37" borderId="2" xfId="57">
      <alignment horizontal="right"/>
    </xf>
    <xf numFmtId="4" fontId="7" fillId="34" borderId="2" xfId="58">
      <alignment horizontal="right"/>
    </xf>
    <xf numFmtId="4" fontId="7" fillId="37" borderId="2" xfId="59">
      <alignment horizontal="right"/>
    </xf>
    <xf numFmtId="0" fontId="3" fillId="34" borderId="18" xfId="60"/>
    <xf numFmtId="4" fontId="27" fillId="34" borderId="2" xfId="61">
      <alignment horizontal="right"/>
    </xf>
    <xf numFmtId="4" fontId="27" fillId="37" borderId="2" xfId="62">
      <alignment horizontal="right"/>
    </xf>
    <xf numFmtId="164" fontId="7" fillId="34" borderId="2" xfId="63">
      <alignment horizontal="right"/>
    </xf>
    <xf numFmtId="164" fontId="7" fillId="37" borderId="2" xfId="64">
      <alignment horizontal="right"/>
    </xf>
    <xf numFmtId="164" fontId="1" fillId="34" borderId="2" xfId="65">
      <alignment horizontal="right"/>
    </xf>
    <xf numFmtId="164" fontId="1" fillId="37" borderId="2" xfId="66">
      <alignment horizontal="right"/>
    </xf>
    <xf numFmtId="0" fontId="5" fillId="33" borderId="17" xfId="67">
      <alignment horizontal="right"/>
    </xf>
    <xf numFmtId="0" fontId="5" fillId="33" borderId="16" xfId="68">
      <alignment horizontal="right"/>
    </xf>
    <xf numFmtId="0" fontId="28" fillId="34" borderId="0" xfId="69">
      <alignment horizontal="center"/>
    </xf>
    <xf numFmtId="0" fontId="29" fillId="33" borderId="0" xfId="70"/>
    <xf numFmtId="4" fontId="1" fillId="37" borderId="2" xfId="71">
      <alignment horizontal="right"/>
    </xf>
    <xf numFmtId="3" fontId="1" fillId="34" borderId="2" xfId="72">
      <alignment horizontal="right"/>
    </xf>
    <xf numFmtId="3" fontId="1" fillId="37" borderId="2" xfId="73">
      <alignment horizontal="right"/>
    </xf>
    <xf numFmtId="4" fontId="0" fillId="0" borderId="0" xfId="0" applyNumberFormat="1"/>
    <xf numFmtId="10"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xf>
    <xf numFmtId="0" fontId="23" fillId="0" borderId="0" xfId="0" applyFont="1" applyAlignment="1">
      <alignment horizontal="center" vertical="center"/>
    </xf>
    <xf numFmtId="0" fontId="23" fillId="0" borderId="0" xfId="0" applyFont="1" applyAlignment="1">
      <alignment vertical="center" wrapText="1"/>
    </xf>
    <xf numFmtId="165" fontId="0" fillId="0" borderId="0" xfId="0" applyNumberFormat="1"/>
    <xf numFmtId="12" fontId="0" fillId="0" borderId="0" xfId="0" applyNumberFormat="1"/>
    <xf numFmtId="0" fontId="0" fillId="0" borderId="0" xfId="0" applyAlignment="1">
      <alignment vertical="center"/>
    </xf>
    <xf numFmtId="10" fontId="0" fillId="0" borderId="0" xfId="0" applyNumberFormat="1" applyAlignment="1">
      <alignment vertical="center"/>
    </xf>
    <xf numFmtId="44" fontId="0" fillId="0" borderId="0" xfId="0" applyNumberFormat="1" applyAlignment="1">
      <alignment vertical="center"/>
    </xf>
    <xf numFmtId="44" fontId="0" fillId="0" borderId="0" xfId="0" applyNumberFormat="1" applyAlignment="1">
      <alignment vertical="center" wrapText="1"/>
    </xf>
    <xf numFmtId="0" fontId="23" fillId="38" borderId="0" xfId="0" applyFont="1" applyFill="1" applyAlignment="1">
      <alignment vertical="center" wrapText="1"/>
    </xf>
    <xf numFmtId="44" fontId="0" fillId="38" borderId="0" xfId="0" applyNumberFormat="1" applyFill="1"/>
    <xf numFmtId="0" fontId="0" fillId="38" borderId="0" xfId="0" applyFill="1"/>
    <xf numFmtId="0" fontId="0" fillId="0" borderId="20" xfId="0" applyBorder="1" applyAlignment="1">
      <alignment vertical="center" wrapText="1"/>
    </xf>
    <xf numFmtId="44" fontId="0" fillId="0" borderId="20" xfId="0" applyNumberFormat="1" applyBorder="1" applyAlignment="1">
      <alignment vertical="center" wrapText="1"/>
    </xf>
    <xf numFmtId="10" fontId="0" fillId="0" borderId="20" xfId="0" applyNumberFormat="1" applyBorder="1" applyAlignment="1">
      <alignment vertical="center" wrapText="1"/>
    </xf>
    <xf numFmtId="10" fontId="0" fillId="38" borderId="21" xfId="0" applyNumberFormat="1" applyFill="1" applyBorder="1"/>
    <xf numFmtId="0" fontId="0" fillId="38" borderId="22" xfId="0" applyFill="1" applyBorder="1"/>
    <xf numFmtId="9" fontId="0" fillId="0" borderId="0" xfId="0" applyNumberFormat="1"/>
    <xf numFmtId="0" fontId="0" fillId="0" borderId="20" xfId="0" applyBorder="1"/>
    <xf numFmtId="44" fontId="0" fillId="40" borderId="0" xfId="0" applyNumberFormat="1" applyFill="1" applyAlignment="1">
      <alignment vertical="center"/>
    </xf>
    <xf numFmtId="44" fontId="0" fillId="40" borderId="20" xfId="0" applyNumberFormat="1" applyFill="1" applyBorder="1" applyAlignment="1">
      <alignment vertical="center"/>
    </xf>
    <xf numFmtId="10" fontId="0" fillId="38" borderId="0" xfId="0" applyNumberFormat="1" applyFill="1"/>
    <xf numFmtId="44" fontId="0" fillId="0" borderId="20" xfId="0" applyNumberFormat="1" applyBorder="1" applyAlignment="1">
      <alignment vertical="center"/>
    </xf>
    <xf numFmtId="0" fontId="23" fillId="0" borderId="0" xfId="0" applyFont="1" applyAlignment="1">
      <alignment horizontal="center"/>
    </xf>
    <xf numFmtId="0" fontId="23" fillId="42" borderId="0" xfId="0" applyFont="1" applyFill="1" applyAlignment="1">
      <alignment vertical="center" wrapText="1"/>
    </xf>
    <xf numFmtId="44" fontId="0" fillId="42" borderId="0" xfId="0" applyNumberFormat="1" applyFill="1"/>
    <xf numFmtId="10" fontId="0" fillId="42" borderId="0" xfId="0" applyNumberFormat="1" applyFill="1"/>
    <xf numFmtId="0" fontId="0" fillId="42" borderId="0" xfId="0" applyFill="1"/>
    <xf numFmtId="10" fontId="0" fillId="42" borderId="0" xfId="0" applyNumberFormat="1" applyFill="1" applyAlignment="1">
      <alignment vertical="center" wrapText="1"/>
    </xf>
    <xf numFmtId="10" fontId="0" fillId="0" borderId="20" xfId="0" applyNumberFormat="1" applyBorder="1"/>
    <xf numFmtId="44" fontId="0" fillId="0" borderId="20" xfId="0" applyNumberFormat="1" applyBorder="1"/>
    <xf numFmtId="0" fontId="0" fillId="0" borderId="0" xfId="0" pivotButton="1"/>
    <xf numFmtId="14" fontId="0" fillId="0" borderId="0" xfId="0" applyNumberFormat="1" applyAlignment="1">
      <alignment horizontal="left"/>
    </xf>
    <xf numFmtId="0" fontId="32" fillId="0" borderId="0" xfId="74" applyAlignment="1">
      <alignment horizontal="center"/>
    </xf>
    <xf numFmtId="0" fontId="0" fillId="0" borderId="29" xfId="0" applyBorder="1"/>
    <xf numFmtId="0" fontId="0" fillId="0" borderId="27" xfId="0" applyBorder="1"/>
    <xf numFmtId="14" fontId="0" fillId="0" borderId="28" xfId="0" applyNumberFormat="1" applyBorder="1"/>
    <xf numFmtId="0" fontId="32" fillId="0" borderId="0" xfId="74" applyAlignment="1"/>
    <xf numFmtId="0" fontId="33" fillId="0" borderId="0" xfId="0" applyFont="1"/>
    <xf numFmtId="0" fontId="0" fillId="0" borderId="0" xfId="0" applyAlignment="1">
      <alignment horizontal="left"/>
    </xf>
    <xf numFmtId="0" fontId="31" fillId="0" borderId="0" xfId="0" applyFont="1"/>
    <xf numFmtId="14" fontId="0" fillId="0" borderId="26" xfId="0" applyNumberFormat="1" applyBorder="1" applyAlignment="1">
      <alignment wrapText="1"/>
    </xf>
    <xf numFmtId="0" fontId="23" fillId="0" borderId="0" xfId="74" applyFont="1" applyAlignment="1">
      <alignment horizontal="center"/>
    </xf>
    <xf numFmtId="0" fontId="34" fillId="0" borderId="0" xfId="0" applyFont="1" applyAlignment="1">
      <alignment horizontal="center"/>
    </xf>
    <xf numFmtId="0" fontId="32" fillId="0" borderId="0" xfId="74" applyAlignment="1">
      <alignment horizontal="left"/>
    </xf>
    <xf numFmtId="0" fontId="23" fillId="45" borderId="30" xfId="0" applyFont="1" applyFill="1" applyBorder="1" applyAlignment="1">
      <alignment horizontal="center"/>
    </xf>
    <xf numFmtId="0" fontId="23" fillId="0" borderId="18" xfId="0" applyFont="1" applyBorder="1" applyAlignment="1">
      <alignment horizontal="center" vertical="center"/>
    </xf>
    <xf numFmtId="10" fontId="0" fillId="0" borderId="18" xfId="0" applyNumberFormat="1" applyBorder="1" applyAlignment="1">
      <alignment vertical="center"/>
    </xf>
    <xf numFmtId="14" fontId="0" fillId="46" borderId="0" xfId="0" applyNumberFormat="1" applyFill="1"/>
    <xf numFmtId="18" fontId="0" fillId="42" borderId="0" xfId="0" applyNumberFormat="1" applyFill="1"/>
    <xf numFmtId="10" fontId="23" fillId="0" borderId="0" xfId="0" applyNumberFormat="1" applyFont="1" applyAlignment="1">
      <alignment horizontal="center" vertical="center"/>
    </xf>
    <xf numFmtId="44" fontId="0" fillId="40" borderId="0" xfId="0" applyNumberFormat="1" applyFill="1"/>
    <xf numFmtId="8" fontId="0" fillId="0" borderId="0" xfId="0" applyNumberFormat="1"/>
    <xf numFmtId="0" fontId="35" fillId="44" borderId="23" xfId="0" applyFont="1" applyFill="1" applyBorder="1" applyAlignment="1">
      <alignment horizontal="center"/>
    </xf>
    <xf numFmtId="0" fontId="35" fillId="44" borderId="24" xfId="0" applyFont="1" applyFill="1" applyBorder="1" applyAlignment="1">
      <alignment horizontal="center"/>
    </xf>
    <xf numFmtId="0" fontId="35" fillId="44" borderId="25" xfId="0" applyFont="1" applyFill="1" applyBorder="1" applyAlignment="1">
      <alignment horizontal="center"/>
    </xf>
    <xf numFmtId="0" fontId="23" fillId="39" borderId="31" xfId="0" applyFont="1" applyFill="1" applyBorder="1" applyAlignment="1">
      <alignment horizontal="center"/>
    </xf>
    <xf numFmtId="0" fontId="23" fillId="39" borderId="32" xfId="0" applyFont="1" applyFill="1" applyBorder="1" applyAlignment="1">
      <alignment horizontal="center"/>
    </xf>
    <xf numFmtId="0" fontId="23" fillId="39" borderId="33" xfId="0" applyFont="1" applyFill="1" applyBorder="1" applyAlignment="1">
      <alignment horizontal="center"/>
    </xf>
    <xf numFmtId="0" fontId="25" fillId="43" borderId="0" xfId="0" applyFont="1" applyFill="1" applyAlignment="1">
      <alignment horizontal="center"/>
    </xf>
    <xf numFmtId="0" fontId="25" fillId="36" borderId="0" xfId="0" applyFont="1" applyFill="1" applyAlignment="1">
      <alignment horizontal="center"/>
    </xf>
    <xf numFmtId="0" fontId="25" fillId="41" borderId="0" xfId="0" applyFont="1" applyFill="1" applyAlignment="1">
      <alignment horizontal="center"/>
    </xf>
    <xf numFmtId="0" fontId="25" fillId="39" borderId="0" xfId="0" applyFont="1" applyFill="1" applyAlignment="1">
      <alignment horizontal="center"/>
    </xf>
    <xf numFmtId="10" fontId="0" fillId="0" borderId="0" xfId="0" applyNumberFormat="1" applyAlignment="1">
      <alignment horizontal="center"/>
    </xf>
    <xf numFmtId="0" fontId="0" fillId="0" borderId="0" xfId="0" applyAlignment="1">
      <alignment horizontal="center"/>
    </xf>
    <xf numFmtId="0" fontId="0" fillId="36" borderId="19" xfId="0" applyFill="1" applyBorder="1" applyAlignment="1">
      <alignment horizontal="center"/>
    </xf>
  </cellXfs>
  <cellStyles count="7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lp_column_header" xfId="70" xr:uid="{36DB75D4-FF28-4108-9BE9-85015BE92A8B}"/>
    <cellStyle name="blp_title_header_row_left" xfId="47" xr:uid="{00000000-0005-0000-0000-000019000000}"/>
    <cellStyle name="Calculation" xfId="26" builtinId="22" customBuiltin="1"/>
    <cellStyle name="Check Cell" xfId="27" builtinId="23" customBuiltin="1"/>
    <cellStyle name="Explanatory Text" xfId="28" builtinId="53" customBuiltin="1"/>
    <cellStyle name="fa_column_header_bottom 2" xfId="67" xr:uid="{82125756-AD91-4427-9C54-1859EE0B40EB}"/>
    <cellStyle name="fa_column_header_bottom_left" xfId="48" xr:uid="{00000000-0005-0000-0000-00001D000000}"/>
    <cellStyle name="fa_column_header_bottom_left 2" xfId="51" xr:uid="{C6E3FFB0-B862-42AC-945C-E646802722B3}"/>
    <cellStyle name="fa_column_header_empty" xfId="69" xr:uid="{65094834-C7EF-420E-B5CA-E82DB3BA29DE}"/>
    <cellStyle name="fa_column_header_top 2" xfId="68" xr:uid="{8D3083A9-A55F-4BA6-8E0D-16E7E8082505}"/>
    <cellStyle name="fa_column_header_top_left" xfId="29" xr:uid="{00000000-0005-0000-0000-00001E000000}"/>
    <cellStyle name="fa_column_header_top_left 2" xfId="50" xr:uid="{CE0AC084-E29D-4ECC-9521-98BE09EE1461}"/>
    <cellStyle name="fa_data_bold_0_grouped" xfId="56" xr:uid="{5E33CDC3-A50D-4DF6-81ED-F245D27381E5}"/>
    <cellStyle name="fa_data_bold_1_grouped" xfId="53" xr:uid="{BADD4A70-1672-4227-ACEF-6EE8EC3A8F37}"/>
    <cellStyle name="fa_data_bold_2_grouped" xfId="61" xr:uid="{DD4F53CE-E20A-4C2F-97A8-55C1FE9624C6}"/>
    <cellStyle name="fa_data_current_bold_0_grouped" xfId="57" xr:uid="{C4A4E0A7-016E-4D6D-9A8B-534EF283392F}"/>
    <cellStyle name="fa_data_current_bold_1_grouped" xfId="54" xr:uid="{F2222C3B-6D0E-4304-99D0-C725E5458AF9}"/>
    <cellStyle name="fa_data_current_bold_2_grouped" xfId="62" xr:uid="{861853C1-862B-4E9A-B65C-A29DCF70B492}"/>
    <cellStyle name="fa_data_current_italic_1_grouped" xfId="64" xr:uid="{A08C43EA-68D6-4A17-B1BB-DAD9C080D1C6}"/>
    <cellStyle name="fa_data_current_italic_2_grouped" xfId="59" xr:uid="{556E5654-0C45-4D7A-9300-ACA4648D2800}"/>
    <cellStyle name="fa_data_current_standard_0_grouped" xfId="73" xr:uid="{F70FFA64-7DD9-444B-A584-75B0DEA41995}"/>
    <cellStyle name="fa_data_current_standard_1_grouped" xfId="66" xr:uid="{E73A8183-9044-4B87-B2B7-84FDC7C72A15}"/>
    <cellStyle name="fa_data_current_standard_2_grouped" xfId="71" xr:uid="{F4651782-AFBA-443A-96B8-FD6A2380EBEB}"/>
    <cellStyle name="fa_data_italic_1_grouped" xfId="63" xr:uid="{A0AB1062-0F43-4AF3-9B41-E877154042AE}"/>
    <cellStyle name="fa_data_italic_2_grouped" xfId="58" xr:uid="{3D4BE4C2-B505-4585-A4A8-2FB623979925}"/>
    <cellStyle name="fa_data_standard" xfId="30" xr:uid="{00000000-0005-0000-0000-00001F000000}"/>
    <cellStyle name="fa_data_standard_0_grouped" xfId="72" xr:uid="{7903E790-147F-4E60-9AE6-F99455775413}"/>
    <cellStyle name="fa_data_standard_1_grouped" xfId="65" xr:uid="{43E93AC3-22E6-4007-BCF9-94130B04DA10}"/>
    <cellStyle name="fa_data_standard_2_grouped" xfId="49" xr:uid="{00000000-0005-0000-0000-000020000000}"/>
    <cellStyle name="fa_footer_italic" xfId="31" xr:uid="{00000000-0005-0000-0000-000021000000}"/>
    <cellStyle name="fa_grey_text_italics" xfId="32" xr:uid="{00000000-0005-0000-0000-000022000000}"/>
    <cellStyle name="fa_row_header_bold 2" xfId="55" xr:uid="{AEE2334C-A0C6-471A-8960-43789A36FB4B}"/>
    <cellStyle name="fa_row_header_italic 2" xfId="60" xr:uid="{2AD78642-3EFD-4AEE-81FA-2F4E4EE0DFC4}"/>
    <cellStyle name="fa_row_header_standard" xfId="33" xr:uid="{00000000-0005-0000-0000-000023000000}"/>
    <cellStyle name="fa_row_header_standard 2" xfId="52" xr:uid="{DAC86570-B74C-4203-B5C0-0487FC9A5B69}"/>
    <cellStyle name="Good" xfId="34"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xfId="74" builtinId="8"/>
    <cellStyle name="Input" xfId="39" builtinId="20" customBuiltin="1"/>
    <cellStyle name="Linked Cell" xfId="40" builtinId="24" customBuiltin="1"/>
    <cellStyle name="Neutral" xfId="41" builtinId="28" customBuiltin="1"/>
    <cellStyle name="Normal" xfId="0" builtinId="0"/>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29">
    <dxf>
      <font>
        <color rgb="FF006100"/>
      </font>
      <fill>
        <patternFill>
          <bgColor rgb="FFC6EFCE"/>
        </patternFill>
      </fill>
    </dxf>
    <dxf>
      <font>
        <color theme="3" tint="0.39994506668294322"/>
      </font>
      <fill>
        <patternFill>
          <bgColor theme="9" tint="0.79998168889431442"/>
        </patternFill>
      </fill>
    </dxf>
    <dxf>
      <font>
        <color rgb="FF006100"/>
      </font>
      <fill>
        <patternFill>
          <bgColor rgb="FFC6EFCE"/>
        </patternFill>
      </fill>
    </dxf>
    <dxf>
      <font>
        <color theme="3" tint="0.39994506668294322"/>
      </font>
      <fill>
        <patternFill>
          <bgColor theme="9" tint="0.79998168889431442"/>
        </patternFill>
      </fill>
    </dxf>
    <dxf>
      <numFmt numFmtId="14" formatCode="0.00%"/>
    </dxf>
    <dxf>
      <numFmt numFmtId="14" formatCode="0.00%"/>
      <alignment horizontal="general" vertical="center" textRotation="0" wrapText="0" indent="0" justifyLastLine="0" shrinkToFit="0" readingOrder="0"/>
    </dxf>
    <dxf>
      <numFmt numFmtId="14" formatCode="0.00%"/>
      <alignment horizontal="general" vertical="center" textRotation="0" wrapText="0" indent="0" justifyLastLine="0" shrinkToFit="0" readingOrder="0"/>
      <border diagonalUp="0" diagonalDown="0">
        <left style="thin">
          <color auto="1"/>
        </left>
        <right/>
        <top/>
        <bottom/>
        <vertical/>
        <horizontal/>
      </border>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numFmt numFmtId="34" formatCode="_(&quot;$&quot;* #,##0.00_);_(&quot;$&quot;* \(#,##0.00\);_(&quot;$&quot;* &quot;-&quot;??_);_(@_)"/>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font>
        <b val="0"/>
        <i val="0"/>
        <strike val="0"/>
        <condense val="0"/>
        <extend val="0"/>
        <outline val="0"/>
        <shadow val="0"/>
        <u/>
        <vertAlign val="baseline"/>
        <sz val="11"/>
        <color theme="10"/>
        <name val="Calibri"/>
        <family val="2"/>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0" indent="0" justifyLastLine="0" shrinkToFit="0" readingOrder="0"/>
    </dxf>
  </dxfs>
  <tableStyles count="0" defaultTableStyle="TableStyleMedium2" defaultPivotStyle="PivotStyleLight16"/>
  <colors>
    <mruColors>
      <color rgb="FFFF8181"/>
      <color rgb="FFFF47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9" Type="http://schemas.openxmlformats.org/officeDocument/2006/relationships/customXml" Target="../customXml/item1.xml"/><Relationship Id="rId21" Type="http://schemas.openxmlformats.org/officeDocument/2006/relationships/pivotCacheDefinition" Target="pivotCache/pivotCacheDefinition2.xml"/><Relationship Id="rId34" Type="http://schemas.microsoft.com/office/2017/06/relationships/rdSupportingPropertyBag" Target="richData/rdsupportingpropertybag.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7/06/relationships/rdRichValue" Target="richData/rdrichvalue.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ichStyles" Target="richData/richStyles.xml"/><Relationship Id="rId37" Type="http://schemas.microsoft.com/office/2017/10/relationships/person" Target="persons/person.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Array" Target="richData/rdarray.xml"/><Relationship Id="rId44" Type="http://schemas.openxmlformats.org/officeDocument/2006/relationships/customXml" Target="../customXml/item6.xml"/><Relationship Id="rId52"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microsoft.com/office/2017/06/relationships/rdRichValueTypes" Target="richData/rdRichValueTyp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microsoft.com/office/2017/06/relationships/rdSupportingPropertyBagStructure" Target="richData/rdsupportingpropertybagstructure.xml"/><Relationship Id="rId38" Type="http://schemas.openxmlformats.org/officeDocument/2006/relationships/calcChain" Target="calcChain.xml"/><Relationship Id="rId46" Type="http://schemas.openxmlformats.org/officeDocument/2006/relationships/customXml" Target="../customXml/item8.xml"/><Relationship Id="rId20" Type="http://schemas.openxmlformats.org/officeDocument/2006/relationships/pivotCacheDefinition" Target="pivotCache/pivotCacheDefinition1.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eetMetadata" Target="metadata.xml"/><Relationship Id="rId36" Type="http://schemas.openxmlformats.org/officeDocument/2006/relationships/powerPivotData" Target="model/item.data"/><Relationship Id="rId4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'DCF Dashboard'!$L$3</c:f>
              <c:strCache>
                <c:ptCount val="1"/>
                <c:pt idx="0">
                  <c:v>Revenue Adj ($M)</c:v>
                </c:pt>
              </c:strCache>
            </c:strRef>
          </c:tx>
          <c:spPr>
            <a:solidFill>
              <a:schemeClr val="accent1"/>
            </a:solidFill>
            <a:ln>
              <a:noFill/>
            </a:ln>
            <a:effectLst/>
          </c:spPr>
          <c:invertIfNegative val="0"/>
          <c:cat>
            <c:strRef>
              <c:f>'DCF Dashboard'!$K$4:$K$12</c:f>
              <c:strCache>
                <c:ptCount val="9"/>
                <c:pt idx="0">
                  <c:v>FY 2019</c:v>
                </c:pt>
                <c:pt idx="1">
                  <c:v>FY 2020</c:v>
                </c:pt>
                <c:pt idx="2">
                  <c:v>FY 2021</c:v>
                </c:pt>
                <c:pt idx="3">
                  <c:v>FY 2022</c:v>
                </c:pt>
                <c:pt idx="4">
                  <c:v>FY 2023</c:v>
                </c:pt>
                <c:pt idx="5">
                  <c:v>FY 2024</c:v>
                </c:pt>
                <c:pt idx="6">
                  <c:v>FY 2025</c:v>
                </c:pt>
                <c:pt idx="7">
                  <c:v>FY 2026</c:v>
                </c:pt>
                <c:pt idx="8">
                  <c:v>FY 2027</c:v>
                </c:pt>
              </c:strCache>
            </c:strRef>
          </c:cat>
          <c:val>
            <c:numRef>
              <c:f>'DCF Dashboard'!$L$4:$L$12</c:f>
              <c:numCache>
                <c:formatCode>General</c:formatCode>
                <c:ptCount val="9"/>
                <c:pt idx="0">
                  <c:v>14884</c:v>
                </c:pt>
                <c:pt idx="1">
                  <c:v>14351</c:v>
                </c:pt>
                <c:pt idx="2">
                  <c:v>17108</c:v>
                </c:pt>
                <c:pt idx="3">
                  <c:v>18449</c:v>
                </c:pt>
                <c:pt idx="4">
                  <c:v>20498</c:v>
                </c:pt>
                <c:pt idx="5">
                  <c:v>22595</c:v>
                </c:pt>
                <c:pt idx="6">
                  <c:v>25116</c:v>
                </c:pt>
                <c:pt idx="7">
                  <c:v>27317.214285714301</c:v>
                </c:pt>
                <c:pt idx="8">
                  <c:v>29602.892857142899</c:v>
                </c:pt>
              </c:numCache>
            </c:numRef>
          </c:val>
          <c:extLst>
            <c:ext xmlns:c16="http://schemas.microsoft.com/office/drawing/2014/chart" uri="{C3380CC4-5D6E-409C-BE32-E72D297353CC}">
              <c16:uniqueId val="{00000000-591F-4774-8328-F94264D16C94}"/>
            </c:ext>
          </c:extLst>
        </c:ser>
        <c:dLbls>
          <c:showLegendKey val="0"/>
          <c:showVal val="0"/>
          <c:showCatName val="0"/>
          <c:showSerName val="0"/>
          <c:showPercent val="0"/>
          <c:showBubbleSize val="0"/>
        </c:dLbls>
        <c:gapWidth val="150"/>
        <c:axId val="644621568"/>
        <c:axId val="730518224"/>
      </c:barChart>
      <c:lineChart>
        <c:grouping val="standard"/>
        <c:varyColors val="0"/>
        <c:ser>
          <c:idx val="1"/>
          <c:order val="1"/>
          <c:tx>
            <c:strRef>
              <c:f>'DCF Dashboard'!$M$3</c:f>
              <c:strCache>
                <c:ptCount val="1"/>
                <c:pt idx="0">
                  <c:v>YoY Growth %</c:v>
                </c:pt>
              </c:strCache>
            </c:strRef>
          </c:tx>
          <c:spPr>
            <a:ln w="28575" cap="rnd">
              <a:solidFill>
                <a:schemeClr val="accent2"/>
              </a:solidFill>
              <a:round/>
            </a:ln>
            <a:effectLst/>
          </c:spPr>
          <c:marker>
            <c:symbol val="none"/>
          </c:marker>
          <c:cat>
            <c:strRef>
              <c:f>'DCF Dashboard'!$K$4:$K$12</c:f>
              <c:strCache>
                <c:ptCount val="9"/>
                <c:pt idx="0">
                  <c:v>FY 2019</c:v>
                </c:pt>
                <c:pt idx="1">
                  <c:v>FY 2020</c:v>
                </c:pt>
                <c:pt idx="2">
                  <c:v>FY 2021</c:v>
                </c:pt>
                <c:pt idx="3">
                  <c:v>FY 2022</c:v>
                </c:pt>
                <c:pt idx="4">
                  <c:v>FY 2023</c:v>
                </c:pt>
                <c:pt idx="5">
                  <c:v>FY 2024</c:v>
                </c:pt>
                <c:pt idx="6">
                  <c:v>FY 2025</c:v>
                </c:pt>
                <c:pt idx="7">
                  <c:v>FY 2026</c:v>
                </c:pt>
                <c:pt idx="8">
                  <c:v>FY 2027</c:v>
                </c:pt>
              </c:strCache>
            </c:strRef>
          </c:cat>
          <c:val>
            <c:numRef>
              <c:f>'DCF Dashboard'!$M$4:$M$12</c:f>
              <c:numCache>
                <c:formatCode>General</c:formatCode>
                <c:ptCount val="9"/>
                <c:pt idx="0">
                  <c:v>9.4330999999999998E-2</c:v>
                </c:pt>
                <c:pt idx="1">
                  <c:v>-3.5810000000000002E-2</c:v>
                </c:pt>
                <c:pt idx="2">
                  <c:v>0.192112</c:v>
                </c:pt>
                <c:pt idx="3">
                  <c:v>7.8383999999999995E-2</c:v>
                </c:pt>
                <c:pt idx="4">
                  <c:v>0.111063</c:v>
                </c:pt>
                <c:pt idx="5">
                  <c:v>0.10230299999999999</c:v>
                </c:pt>
                <c:pt idx="6">
                  <c:v>0.11157299999999999</c:v>
                </c:pt>
                <c:pt idx="7">
                  <c:v>8.7641912952471993E-2</c:v>
                </c:pt>
                <c:pt idx="8">
                  <c:v>8.3671729757008192E-2</c:v>
                </c:pt>
              </c:numCache>
            </c:numRef>
          </c:val>
          <c:smooth val="0"/>
          <c:extLst>
            <c:ext xmlns:c16="http://schemas.microsoft.com/office/drawing/2014/chart" uri="{C3380CC4-5D6E-409C-BE32-E72D297353CC}">
              <c16:uniqueId val="{00000001-591F-4774-8328-F94264D16C94}"/>
            </c:ext>
          </c:extLst>
        </c:ser>
        <c:dLbls>
          <c:showLegendKey val="0"/>
          <c:showVal val="0"/>
          <c:showCatName val="0"/>
          <c:showSerName val="0"/>
          <c:showPercent val="0"/>
          <c:showBubbleSize val="0"/>
        </c:dLbls>
        <c:marker val="1"/>
        <c:smooth val="0"/>
        <c:axId val="730516784"/>
        <c:axId val="730517264"/>
      </c:lineChart>
      <c:catAx>
        <c:axId val="64462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18224"/>
        <c:crosses val="autoZero"/>
        <c:auto val="1"/>
        <c:lblAlgn val="ctr"/>
        <c:lblOffset val="100"/>
        <c:noMultiLvlLbl val="0"/>
      </c:catAx>
      <c:valAx>
        <c:axId val="73051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21568"/>
        <c:crosses val="autoZero"/>
        <c:crossBetween val="between"/>
      </c:valAx>
      <c:valAx>
        <c:axId val="7305172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16784"/>
        <c:crosses val="max"/>
        <c:crossBetween val="between"/>
      </c:valAx>
      <c:catAx>
        <c:axId val="730516784"/>
        <c:scaling>
          <c:orientation val="minMax"/>
        </c:scaling>
        <c:delete val="1"/>
        <c:axPos val="b"/>
        <c:numFmt formatCode="General" sourceLinked="1"/>
        <c:majorTickMark val="none"/>
        <c:minorTickMark val="none"/>
        <c:tickLblPos val="nextTo"/>
        <c:crossAx val="730517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Valuations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Bloomberg Eval</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0D4C-4935-96C7-83E006F6A7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'DCF Dashboard'!$H$3</c:f>
              <c:numCache>
                <c:formatCode>0.00%</c:formatCode>
                <c:ptCount val="1"/>
                <c:pt idx="0">
                  <c:v>-0.13775054370500472</c:v>
                </c:pt>
              </c:numCache>
            </c:numRef>
          </c:val>
          <c:extLst>
            <c:ext xmlns:c16="http://schemas.microsoft.com/office/drawing/2014/chart" uri="{C3380CC4-5D6E-409C-BE32-E72D297353CC}">
              <c16:uniqueId val="{00000000-0D4C-4935-96C7-83E006F6A790}"/>
            </c:ext>
          </c:extLst>
        </c:ser>
        <c:ser>
          <c:idx val="1"/>
          <c:order val="1"/>
          <c:tx>
            <c:v>Quick Eval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'DCF Dashboard'!$H$7</c:f>
              <c:numCache>
                <c:formatCode>0.00%</c:formatCode>
                <c:ptCount val="1"/>
                <c:pt idx="0">
                  <c:v>0.44118065214430624</c:v>
                </c:pt>
              </c:numCache>
            </c:numRef>
          </c:val>
          <c:extLst>
            <c:ext xmlns:c16="http://schemas.microsoft.com/office/drawing/2014/chart" uri="{C3380CC4-5D6E-409C-BE32-E72D297353CC}">
              <c16:uniqueId val="{00000001-0D4C-4935-96C7-83E006F6A790}"/>
            </c:ext>
          </c:extLst>
        </c:ser>
        <c:ser>
          <c:idx val="2"/>
          <c:order val="2"/>
          <c:tx>
            <c:v>Quick Forecast</c:v>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'DCF Dashboard'!$H$11</c:f>
              <c:numCache>
                <c:formatCode>0.00%</c:formatCode>
                <c:ptCount val="1"/>
                <c:pt idx="0">
                  <c:v>0.34226531415100903</c:v>
                </c:pt>
              </c:numCache>
            </c:numRef>
          </c:val>
          <c:extLst>
            <c:ext xmlns:c16="http://schemas.microsoft.com/office/drawing/2014/chart" uri="{C3380CC4-5D6E-409C-BE32-E72D297353CC}">
              <c16:uniqueId val="{00000002-0D4C-4935-96C7-83E006F6A790}"/>
            </c:ext>
          </c:extLst>
        </c:ser>
        <c:ser>
          <c:idx val="3"/>
          <c:order val="3"/>
          <c:tx>
            <c:v>Advanced Forecast</c:v>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'DCF Dashboard'!$H$17</c:f>
              <c:numCache>
                <c:formatCode>0.00%</c:formatCode>
                <c:ptCount val="1"/>
                <c:pt idx="0">
                  <c:v>8.6009582929923223E-2</c:v>
                </c:pt>
              </c:numCache>
            </c:numRef>
          </c:val>
          <c:extLst>
            <c:ext xmlns:c16="http://schemas.microsoft.com/office/drawing/2014/chart" uri="{C3380CC4-5D6E-409C-BE32-E72D297353CC}">
              <c16:uniqueId val="{00000003-0D4C-4935-96C7-83E006F6A790}"/>
            </c:ext>
          </c:extLst>
        </c:ser>
        <c:dLbls>
          <c:dLblPos val="outEnd"/>
          <c:showLegendKey val="0"/>
          <c:showVal val="1"/>
          <c:showCatName val="0"/>
          <c:showSerName val="0"/>
          <c:showPercent val="0"/>
          <c:showBubbleSize val="0"/>
        </c:dLbls>
        <c:gapWidth val="219"/>
        <c:overlap val="-27"/>
        <c:axId val="7539695"/>
        <c:axId val="7536815"/>
      </c:barChart>
      <c:catAx>
        <c:axId val="7539695"/>
        <c:scaling>
          <c:orientation val="minMax"/>
        </c:scaling>
        <c:delete val="1"/>
        <c:axPos val="b"/>
        <c:numFmt formatCode="General" sourceLinked="1"/>
        <c:majorTickMark val="none"/>
        <c:minorTickMark val="none"/>
        <c:tickLblPos val="nextTo"/>
        <c:crossAx val="7536815"/>
        <c:crosses val="autoZero"/>
        <c:auto val="1"/>
        <c:lblAlgn val="ctr"/>
        <c:lblOffset val="100"/>
        <c:noMultiLvlLbl val="0"/>
      </c:catAx>
      <c:valAx>
        <c:axId val="7536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[H_Waseem_SYK_DCF_Full.xlsx]DCF PivotTable!PivotTable1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Stryker Composition</a:t>
            </a:r>
          </a:p>
        </c:rich>
      </c:tx>
      <c:layout>
        <c:manualLayout>
          <c:xMode val="edge"/>
          <c:yMode val="edge"/>
          <c:x val="0.66265288713910764"/>
          <c:y val="0.17953484981044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159230096237"/>
          <c:y val="0.11976633129192182"/>
          <c:w val="0.51568285214348208"/>
          <c:h val="0.63040573053368332"/>
        </c:manualLayout>
      </c:layout>
      <c:barChart>
        <c:barDir val="col"/>
        <c:grouping val="stacked"/>
        <c:varyColors val="0"/>
        <c:ser>
          <c:idx val="0"/>
          <c:order val="0"/>
          <c:tx>
            <c:strRef>
              <c:f>'DCF PivotTable'!$B$3</c:f>
              <c:strCache>
                <c:ptCount val="1"/>
                <c:pt idx="0">
                  <c:v>Average of MedSurg % of Rev</c:v>
                </c:pt>
              </c:strCache>
            </c:strRef>
          </c:tx>
          <c:spPr>
            <a:solidFill>
              <a:schemeClr val="accent1"/>
            </a:solidFill>
            <a:ln>
              <a:noFill/>
            </a:ln>
            <a:effectLst/>
          </c:spPr>
          <c:invertIfNegative val="0"/>
          <c:cat>
            <c:strRef>
              <c:f>'DCF PivotTable'!$A$4:$A$10</c:f>
              <c:strCache>
                <c:ptCount val="7"/>
                <c:pt idx="0">
                  <c:v>FY 2019</c:v>
                </c:pt>
                <c:pt idx="1">
                  <c:v>FY 2020</c:v>
                </c:pt>
                <c:pt idx="2">
                  <c:v>FY 2021</c:v>
                </c:pt>
                <c:pt idx="3">
                  <c:v>FY 2022</c:v>
                </c:pt>
                <c:pt idx="4">
                  <c:v>FY 2023</c:v>
                </c:pt>
                <c:pt idx="5">
                  <c:v>FY 2024</c:v>
                </c:pt>
                <c:pt idx="6">
                  <c:v>FY 2025</c:v>
                </c:pt>
              </c:strCache>
            </c:strRef>
          </c:cat>
          <c:val>
            <c:numRef>
              <c:f>'DCF PivotTable'!$B$4:$B$10</c:f>
              <c:numCache>
                <c:formatCode>0.00%</c:formatCode>
                <c:ptCount val="7"/>
                <c:pt idx="0">
                  <c:v>0.44654363649731638</c:v>
                </c:pt>
                <c:pt idx="1">
                  <c:v>0.56940338618650899</c:v>
                </c:pt>
                <c:pt idx="2">
                  <c:v>0.58149257891436135</c:v>
                </c:pt>
                <c:pt idx="3">
                  <c:v>0.55751695113397237</c:v>
                </c:pt>
                <c:pt idx="4">
                  <c:v>0.59043850615209492</c:v>
                </c:pt>
                <c:pt idx="5">
                  <c:v>0.59337496341106455</c:v>
                </c:pt>
                <c:pt idx="6">
                  <c:v>0.59827395441469344</c:v>
                </c:pt>
              </c:numCache>
            </c:numRef>
          </c:val>
          <c:extLst>
            <c:ext xmlns:c16="http://schemas.microsoft.com/office/drawing/2014/chart" uri="{C3380CC4-5D6E-409C-BE32-E72D297353CC}">
              <c16:uniqueId val="{00000000-C241-45DE-828B-57B1AF237E82}"/>
            </c:ext>
          </c:extLst>
        </c:ser>
        <c:ser>
          <c:idx val="1"/>
          <c:order val="1"/>
          <c:tx>
            <c:strRef>
              <c:f>'DCF PivotTable'!$C$3</c:f>
              <c:strCache>
                <c:ptCount val="1"/>
                <c:pt idx="0">
                  <c:v>Average of Ortho % of Rev</c:v>
                </c:pt>
              </c:strCache>
            </c:strRef>
          </c:tx>
          <c:spPr>
            <a:solidFill>
              <a:schemeClr val="accent2"/>
            </a:solidFill>
            <a:ln>
              <a:noFill/>
            </a:ln>
            <a:effectLst/>
          </c:spPr>
          <c:invertIfNegative val="0"/>
          <c:cat>
            <c:strRef>
              <c:f>'DCF PivotTable'!$A$4:$A$10</c:f>
              <c:strCache>
                <c:ptCount val="7"/>
                <c:pt idx="0">
                  <c:v>FY 2019</c:v>
                </c:pt>
                <c:pt idx="1">
                  <c:v>FY 2020</c:v>
                </c:pt>
                <c:pt idx="2">
                  <c:v>FY 2021</c:v>
                </c:pt>
                <c:pt idx="3">
                  <c:v>FY 2022</c:v>
                </c:pt>
                <c:pt idx="4">
                  <c:v>FY 2023</c:v>
                </c:pt>
                <c:pt idx="5">
                  <c:v>FY 2024</c:v>
                </c:pt>
                <c:pt idx="6">
                  <c:v>FY 2025</c:v>
                </c:pt>
              </c:strCache>
            </c:strRef>
          </c:cat>
          <c:val>
            <c:numRef>
              <c:f>'DCF PivotTable'!$C$4:$C$10</c:f>
              <c:numCache>
                <c:formatCode>0.00%</c:formatCode>
                <c:ptCount val="7"/>
                <c:pt idx="0">
                  <c:v>0.55345636350268368</c:v>
                </c:pt>
                <c:pt idx="1">
                  <c:v>0.43059661381349101</c:v>
                </c:pt>
                <c:pt idx="2">
                  <c:v>0.41850742108563865</c:v>
                </c:pt>
                <c:pt idx="3">
                  <c:v>0.44248304886602763</c:v>
                </c:pt>
                <c:pt idx="4">
                  <c:v>0.40956149384790508</c:v>
                </c:pt>
                <c:pt idx="5">
                  <c:v>0.40662503658893551</c:v>
                </c:pt>
                <c:pt idx="6">
                  <c:v>0.4017260455853065</c:v>
                </c:pt>
              </c:numCache>
            </c:numRef>
          </c:val>
          <c:extLst>
            <c:ext xmlns:c16="http://schemas.microsoft.com/office/drawing/2014/chart" uri="{C3380CC4-5D6E-409C-BE32-E72D297353CC}">
              <c16:uniqueId val="{00000001-C241-45DE-828B-57B1AF237E82}"/>
            </c:ext>
          </c:extLst>
        </c:ser>
        <c:dLbls>
          <c:showLegendKey val="0"/>
          <c:showVal val="0"/>
          <c:showCatName val="0"/>
          <c:showSerName val="0"/>
          <c:showPercent val="0"/>
          <c:showBubbleSize val="0"/>
        </c:dLbls>
        <c:gapWidth val="150"/>
        <c:overlap val="100"/>
        <c:axId val="1808802608"/>
        <c:axId val="1808809808"/>
      </c:barChart>
      <c:catAx>
        <c:axId val="18088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09808"/>
        <c:crosses val="autoZero"/>
        <c:auto val="1"/>
        <c:lblAlgn val="ctr"/>
        <c:lblOffset val="100"/>
        <c:noMultiLvlLbl val="0"/>
      </c:catAx>
      <c:valAx>
        <c:axId val="1808809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0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[H_Waseem_SYK_DCF_Full.xlsx]DCF PivotTable!PivotTable2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2"/>
          <c:order val="2"/>
          <c:tx>
            <c:strRef>
              <c:f>'DCF PivotTable'!$D$15</c:f>
              <c:strCache>
                <c:ptCount val="1"/>
                <c:pt idx="0">
                  <c:v>Average of CapEx %</c:v>
                </c:pt>
              </c:strCache>
            </c:strRef>
          </c:tx>
          <c:spPr>
            <a:solidFill>
              <a:schemeClr val="accent2"/>
            </a:solidFill>
            <a:ln>
              <a:noFill/>
            </a:ln>
            <a:effectLst/>
          </c:spPr>
          <c:cat>
            <c:strRef>
              <c:f>'DCF PivotTable'!$A$16:$A$28</c:f>
              <c:strCache>
                <c:ptCount val="13"/>
                <c:pt idx="0">
                  <c:v>FY 2019</c:v>
                </c:pt>
                <c:pt idx="1">
                  <c:v>FY 2020</c:v>
                </c:pt>
                <c:pt idx="2">
                  <c:v>FY 2021</c:v>
                </c:pt>
                <c:pt idx="3">
                  <c:v>FY 2022</c:v>
                </c:pt>
                <c:pt idx="4">
                  <c:v>FY 2023</c:v>
                </c:pt>
                <c:pt idx="5">
                  <c:v>FY 2024</c:v>
                </c:pt>
                <c:pt idx="6">
                  <c:v>FY 2025</c:v>
                </c:pt>
                <c:pt idx="7">
                  <c:v>FY 2026</c:v>
                </c:pt>
                <c:pt idx="8">
                  <c:v>FY 2027</c:v>
                </c:pt>
                <c:pt idx="9">
                  <c:v>FY 2028</c:v>
                </c:pt>
                <c:pt idx="10">
                  <c:v>FY 2029</c:v>
                </c:pt>
                <c:pt idx="11">
                  <c:v>FY 2030</c:v>
                </c:pt>
                <c:pt idx="12">
                  <c:v>FY 2031</c:v>
                </c:pt>
              </c:strCache>
            </c:strRef>
          </c:cat>
          <c:val>
            <c:numRef>
              <c:f>'DCF PivotTable'!$D$16:$D$28</c:f>
              <c:numCache>
                <c:formatCode>0.00%</c:formatCode>
                <c:ptCount val="13"/>
                <c:pt idx="0">
                  <c:v>4.3603869927438851E-2</c:v>
                </c:pt>
                <c:pt idx="1">
                  <c:v>3.3934917427356978E-2</c:v>
                </c:pt>
                <c:pt idx="2">
                  <c:v>3.0687397708674305E-2</c:v>
                </c:pt>
                <c:pt idx="3">
                  <c:v>3.187164615968345E-2</c:v>
                </c:pt>
                <c:pt idx="4">
                  <c:v>2.8051517221192316E-2</c:v>
                </c:pt>
                <c:pt idx="5">
                  <c:v>3.3414472228369109E-2</c:v>
                </c:pt>
                <c:pt idx="6">
                  <c:v>3.0299410734193347E-2</c:v>
                </c:pt>
                <c:pt idx="7">
                  <c:v>2.6896154705958963E-2</c:v>
                </c:pt>
                <c:pt idx="8">
                  <c:v>2.7829440020136875E-2</c:v>
                </c:pt>
                <c:pt idx="9">
                  <c:v>2.7539010902592587E-2</c:v>
                </c:pt>
                <c:pt idx="10">
                  <c:v>2.656303918233327E-2</c:v>
                </c:pt>
                <c:pt idx="11">
                  <c:v>2.5986673930370019E-2</c:v>
                </c:pt>
                <c:pt idx="12">
                  <c:v>2.4202131414695849E-2</c:v>
                </c:pt>
              </c:numCache>
            </c:numRef>
          </c:val>
          <c:extLst>
            <c:ext xmlns:c16="http://schemas.microsoft.com/office/drawing/2014/chart" uri="{C3380CC4-5D6E-409C-BE32-E72D297353CC}">
              <c16:uniqueId val="{00000005-044B-45FB-81EA-5B8F876CF63E}"/>
            </c:ext>
          </c:extLst>
        </c:ser>
        <c:dLbls>
          <c:showLegendKey val="0"/>
          <c:showVal val="0"/>
          <c:showCatName val="0"/>
          <c:showSerName val="0"/>
          <c:showPercent val="0"/>
          <c:showBubbleSize val="0"/>
        </c:dLbls>
        <c:axId val="2039027184"/>
        <c:axId val="2039021904"/>
      </c:areaChart>
      <c:lineChart>
        <c:grouping val="standard"/>
        <c:varyColors val="0"/>
        <c:ser>
          <c:idx val="1"/>
          <c:order val="1"/>
          <c:tx>
            <c:strRef>
              <c:f>'DCF PivotTable'!$C$15</c:f>
              <c:strCache>
                <c:ptCount val="1"/>
                <c:pt idx="0">
                  <c:v>Average of YoY Growth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'DCF PivotTable'!$A$16:$A$28</c:f>
              <c:strCache>
                <c:ptCount val="13"/>
                <c:pt idx="0">
                  <c:v>FY 2019</c:v>
                </c:pt>
                <c:pt idx="1">
                  <c:v>FY 2020</c:v>
                </c:pt>
                <c:pt idx="2">
                  <c:v>FY 2021</c:v>
                </c:pt>
                <c:pt idx="3">
                  <c:v>FY 2022</c:v>
                </c:pt>
                <c:pt idx="4">
                  <c:v>FY 2023</c:v>
                </c:pt>
                <c:pt idx="5">
                  <c:v>FY 2024</c:v>
                </c:pt>
                <c:pt idx="6">
                  <c:v>FY 2025</c:v>
                </c:pt>
                <c:pt idx="7">
                  <c:v>FY 2026</c:v>
                </c:pt>
                <c:pt idx="8">
                  <c:v>FY 2027</c:v>
                </c:pt>
                <c:pt idx="9">
                  <c:v>FY 2028</c:v>
                </c:pt>
                <c:pt idx="10">
                  <c:v>FY 2029</c:v>
                </c:pt>
                <c:pt idx="11">
                  <c:v>FY 2030</c:v>
                </c:pt>
                <c:pt idx="12">
                  <c:v>FY 2031</c:v>
                </c:pt>
              </c:strCache>
            </c:strRef>
          </c:cat>
          <c:val>
            <c:numRef>
              <c:f>'DCF PivotTable'!$C$16:$C$28</c:f>
              <c:numCache>
                <c:formatCode>0.00%</c:formatCode>
                <c:ptCount val="13"/>
                <c:pt idx="0">
                  <c:v>9.4330999999999998E-2</c:v>
                </c:pt>
                <c:pt idx="1">
                  <c:v>-3.5810000000000002E-2</c:v>
                </c:pt>
                <c:pt idx="2">
                  <c:v>0.192112</c:v>
                </c:pt>
                <c:pt idx="3">
                  <c:v>7.8383999999999995E-2</c:v>
                </c:pt>
                <c:pt idx="4">
                  <c:v>0.111063</c:v>
                </c:pt>
                <c:pt idx="5">
                  <c:v>0.10230299999999999</c:v>
                </c:pt>
                <c:pt idx="6">
                  <c:v>0.11157299999999999</c:v>
                </c:pt>
                <c:pt idx="7">
                  <c:v>8.7577960504792857E-2</c:v>
                </c:pt>
                <c:pt idx="8">
                  <c:v>8.3699999999999997E-2</c:v>
                </c:pt>
                <c:pt idx="9">
                  <c:v>7.0000000000000007E-2</c:v>
                </c:pt>
                <c:pt idx="10">
                  <c:v>0.06</c:v>
                </c:pt>
                <c:pt idx="11">
                  <c:v>0.05</c:v>
                </c:pt>
                <c:pt idx="12">
                  <c:v>0.03</c:v>
                </c:pt>
              </c:numCache>
            </c:numRef>
          </c:val>
          <c:smooth val="0"/>
          <c:extLst>
            <c:ext xmlns:c16="http://schemas.microsoft.com/office/drawing/2014/chart" uri="{C3380CC4-5D6E-409C-BE32-E72D297353CC}">
              <c16:uniqueId val="{00000001-044B-45FB-81EA-5B8F876CF63E}"/>
            </c:ext>
          </c:extLst>
        </c:ser>
        <c:ser>
          <c:idx val="3"/>
          <c:order val="3"/>
          <c:tx>
            <c:strRef>
              <c:f>'DCF PivotTable'!$E$15</c:f>
              <c:strCache>
                <c:ptCount val="1"/>
                <c:pt idx="0">
                  <c:v>Average of NWC %</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strRef>
              <c:f>'DCF PivotTable'!$A$16:$A$28</c:f>
              <c:strCache>
                <c:ptCount val="13"/>
                <c:pt idx="0">
                  <c:v>FY 2019</c:v>
                </c:pt>
                <c:pt idx="1">
                  <c:v>FY 2020</c:v>
                </c:pt>
                <c:pt idx="2">
                  <c:v>FY 2021</c:v>
                </c:pt>
                <c:pt idx="3">
                  <c:v>FY 2022</c:v>
                </c:pt>
                <c:pt idx="4">
                  <c:v>FY 2023</c:v>
                </c:pt>
                <c:pt idx="5">
                  <c:v>FY 2024</c:v>
                </c:pt>
                <c:pt idx="6">
                  <c:v>FY 2025</c:v>
                </c:pt>
                <c:pt idx="7">
                  <c:v>FY 2026</c:v>
                </c:pt>
                <c:pt idx="8">
                  <c:v>FY 2027</c:v>
                </c:pt>
                <c:pt idx="9">
                  <c:v>FY 2028</c:v>
                </c:pt>
                <c:pt idx="10">
                  <c:v>FY 2029</c:v>
                </c:pt>
                <c:pt idx="11">
                  <c:v>FY 2030</c:v>
                </c:pt>
                <c:pt idx="12">
                  <c:v>FY 2031</c:v>
                </c:pt>
              </c:strCache>
            </c:strRef>
          </c:cat>
          <c:val>
            <c:numRef>
              <c:f>'DCF PivotTable'!$E$16:$E$28</c:f>
              <c:numCache>
                <c:formatCode>0.00%</c:formatCode>
                <c:ptCount val="13"/>
                <c:pt idx="0">
                  <c:v>0.44732598763773179</c:v>
                </c:pt>
                <c:pt idx="1">
                  <c:v>0.32513413699393773</c:v>
                </c:pt>
                <c:pt idx="2">
                  <c:v>0.31961655365910685</c:v>
                </c:pt>
                <c:pt idx="3">
                  <c:v>0.21529622201745352</c:v>
                </c:pt>
                <c:pt idx="4">
                  <c:v>0.22426578202751488</c:v>
                </c:pt>
                <c:pt idx="5">
                  <c:v>0.32002655454746626</c:v>
                </c:pt>
                <c:pt idx="6">
                  <c:v>0.277154005414875</c:v>
                </c:pt>
                <c:pt idx="7">
                  <c:v>0.23388512064632705</c:v>
                </c:pt>
                <c:pt idx="8">
                  <c:v>0.24466004483654441</c:v>
                </c:pt>
                <c:pt idx="9">
                  <c:v>0.24526954931940559</c:v>
                </c:pt>
                <c:pt idx="10">
                  <c:v>0.255293141599789</c:v>
                </c:pt>
                <c:pt idx="11">
                  <c:v>0.25140530040063597</c:v>
                </c:pt>
                <c:pt idx="12">
                  <c:v>0.24598011873482295</c:v>
                </c:pt>
              </c:numCache>
            </c:numRef>
          </c:val>
          <c:smooth val="0"/>
          <c:extLst>
            <c:ext xmlns:c16="http://schemas.microsoft.com/office/drawing/2014/chart" uri="{C3380CC4-5D6E-409C-BE32-E72D297353CC}">
              <c16:uniqueId val="{00000006-044B-45FB-81EA-5B8F876CF63E}"/>
            </c:ext>
          </c:extLst>
        </c:ser>
        <c:dLbls>
          <c:showLegendKey val="0"/>
          <c:showVal val="0"/>
          <c:showCatName val="0"/>
          <c:showSerName val="0"/>
          <c:showPercent val="0"/>
          <c:showBubbleSize val="0"/>
        </c:dLbls>
        <c:marker val="1"/>
        <c:smooth val="0"/>
        <c:axId val="320158959"/>
        <c:axId val="320160399"/>
      </c:lineChart>
      <c:lineChart>
        <c:grouping val="standard"/>
        <c:varyColors val="0"/>
        <c:ser>
          <c:idx val="0"/>
          <c:order val="0"/>
          <c:tx>
            <c:strRef>
              <c:f>'DCF PivotTable'!$B$15</c:f>
              <c:strCache>
                <c:ptCount val="1"/>
                <c:pt idx="0">
                  <c:v>Average of EBITDA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'DCF PivotTable'!$A$16:$A$28</c:f>
              <c:strCache>
                <c:ptCount val="13"/>
                <c:pt idx="0">
                  <c:v>FY 2019</c:v>
                </c:pt>
                <c:pt idx="1">
                  <c:v>FY 2020</c:v>
                </c:pt>
                <c:pt idx="2">
                  <c:v>FY 2021</c:v>
                </c:pt>
                <c:pt idx="3">
                  <c:v>FY 2022</c:v>
                </c:pt>
                <c:pt idx="4">
                  <c:v>FY 2023</c:v>
                </c:pt>
                <c:pt idx="5">
                  <c:v>FY 2024</c:v>
                </c:pt>
                <c:pt idx="6">
                  <c:v>FY 2025</c:v>
                </c:pt>
                <c:pt idx="7">
                  <c:v>FY 2026</c:v>
                </c:pt>
                <c:pt idx="8">
                  <c:v>FY 2027</c:v>
                </c:pt>
                <c:pt idx="9">
                  <c:v>FY 2028</c:v>
                </c:pt>
                <c:pt idx="10">
                  <c:v>FY 2029</c:v>
                </c:pt>
                <c:pt idx="11">
                  <c:v>FY 2030</c:v>
                </c:pt>
                <c:pt idx="12">
                  <c:v>FY 2031</c:v>
                </c:pt>
              </c:strCache>
            </c:strRef>
          </c:cat>
          <c:val>
            <c:numRef>
              <c:f>'DCF PivotTable'!$B$16:$B$28</c:f>
              <c:numCache>
                <c:formatCode>0.00%</c:formatCode>
                <c:ptCount val="13"/>
                <c:pt idx="0">
                  <c:v>0.29259607632356899</c:v>
                </c:pt>
                <c:pt idx="1">
                  <c:v>0.27656609295519502</c:v>
                </c:pt>
                <c:pt idx="2">
                  <c:v>0.28559738134206197</c:v>
                </c:pt>
                <c:pt idx="3">
                  <c:v>0.265813865250149</c:v>
                </c:pt>
                <c:pt idx="4">
                  <c:v>0.26929456532344598</c:v>
                </c:pt>
                <c:pt idx="5">
                  <c:v>0.28023899092719601</c:v>
                </c:pt>
                <c:pt idx="6">
                  <c:v>0.28941710463449599</c:v>
                </c:pt>
                <c:pt idx="7">
                  <c:v>0.27729002023061144</c:v>
                </c:pt>
                <c:pt idx="8">
                  <c:v>0.28120776782161716</c:v>
                </c:pt>
                <c:pt idx="9">
                  <c:v>0.28268081489146013</c:v>
                </c:pt>
                <c:pt idx="10">
                  <c:v>0.28820305890037989</c:v>
                </c:pt>
                <c:pt idx="11">
                  <c:v>0.28881887351080815</c:v>
                </c:pt>
                <c:pt idx="12">
                  <c:v>0.28807985455143181</c:v>
                </c:pt>
              </c:numCache>
            </c:numRef>
          </c:val>
          <c:smooth val="0"/>
          <c:extLst>
            <c:ext xmlns:c16="http://schemas.microsoft.com/office/drawing/2014/chart" uri="{C3380CC4-5D6E-409C-BE32-E72D297353CC}">
              <c16:uniqueId val="{00000000-044B-45FB-81EA-5B8F876CF63E}"/>
            </c:ext>
          </c:extLst>
        </c:ser>
        <c:dLbls>
          <c:showLegendKey val="0"/>
          <c:showVal val="0"/>
          <c:showCatName val="0"/>
          <c:showSerName val="0"/>
          <c:showPercent val="0"/>
          <c:showBubbleSize val="0"/>
        </c:dLbls>
        <c:marker val="1"/>
        <c:smooth val="0"/>
        <c:axId val="2039027184"/>
        <c:axId val="2039021904"/>
      </c:lineChart>
      <c:catAx>
        <c:axId val="320158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60399"/>
        <c:crosses val="autoZero"/>
        <c:auto val="1"/>
        <c:lblAlgn val="ctr"/>
        <c:lblOffset val="700"/>
        <c:noMultiLvlLbl val="0"/>
      </c:catAx>
      <c:valAx>
        <c:axId val="320160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58959"/>
        <c:crosses val="autoZero"/>
        <c:crossBetween val="between"/>
      </c:valAx>
      <c:valAx>
        <c:axId val="20390219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027184"/>
        <c:crosses val="max"/>
        <c:crossBetween val="between"/>
      </c:valAx>
      <c:catAx>
        <c:axId val="2039027184"/>
        <c:scaling>
          <c:orientation val="minMax"/>
        </c:scaling>
        <c:delete val="1"/>
        <c:axPos val="b"/>
        <c:numFmt formatCode="General" sourceLinked="1"/>
        <c:majorTickMark val="out"/>
        <c:minorTickMark val="none"/>
        <c:tickLblPos val="nextTo"/>
        <c:crossAx val="2039021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[H_Waseem_SYK_DCF_Full.xlsx]DCF PivotTable!PivotTable13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Stryker</a:t>
            </a:r>
            <a:br>
              <a:rPr lang="en-US"/>
            </a:br>
            <a:r>
              <a:rPr lang="en-US"/>
              <a:t>Debt:Equity</a:t>
            </a:r>
          </a:p>
        </c:rich>
      </c:tx>
      <c:layout>
        <c:manualLayout>
          <c:xMode val="edge"/>
          <c:yMode val="edge"/>
          <c:x val="0.7344930008748907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1513670166229219"/>
          <c:w val="0.54431627296587914"/>
          <c:h val="0.63503536016331297"/>
        </c:manualLayout>
      </c:layout>
      <c:areaChart>
        <c:grouping val="stacked"/>
        <c:varyColors val="0"/>
        <c:ser>
          <c:idx val="0"/>
          <c:order val="0"/>
          <c:tx>
            <c:strRef>
              <c:f>'DCF PivotTable'!$B$32</c:f>
              <c:strCache>
                <c:ptCount val="1"/>
                <c:pt idx="0">
                  <c:v>Average of Net Debt ($M)</c:v>
                </c:pt>
              </c:strCache>
            </c:strRef>
          </c:tx>
          <c:spPr>
            <a:solidFill>
              <a:schemeClr val="accent2"/>
            </a:solidFill>
            <a:ln>
              <a:noFill/>
            </a:ln>
            <a:effectLst/>
          </c:spPr>
          <c:cat>
            <c:strRef>
              <c:f>'DCF PivotTable'!$A$33:$A$39</c:f>
              <c:strCache>
                <c:ptCount val="7"/>
                <c:pt idx="0">
                  <c:v>FY 2019</c:v>
                </c:pt>
                <c:pt idx="1">
                  <c:v>FY 2020</c:v>
                </c:pt>
                <c:pt idx="2">
                  <c:v>FY 2021</c:v>
                </c:pt>
                <c:pt idx="3">
                  <c:v>FY 2022</c:v>
                </c:pt>
                <c:pt idx="4">
                  <c:v>FY 2023</c:v>
                </c:pt>
                <c:pt idx="5">
                  <c:v>FY 2024</c:v>
                </c:pt>
                <c:pt idx="6">
                  <c:v>FY 2025</c:v>
                </c:pt>
              </c:strCache>
            </c:strRef>
          </c:cat>
          <c:val>
            <c:numRef>
              <c:f>'DCF PivotTable'!$B$33:$B$39</c:f>
              <c:numCache>
                <c:formatCode>General</c:formatCode>
                <c:ptCount val="7"/>
                <c:pt idx="0">
                  <c:v>6665</c:v>
                </c:pt>
                <c:pt idx="1">
                  <c:v>10967</c:v>
                </c:pt>
                <c:pt idx="2">
                  <c:v>9460</c:v>
                </c:pt>
                <c:pt idx="3">
                  <c:v>11120</c:v>
                </c:pt>
                <c:pt idx="4">
                  <c:v>9942</c:v>
                </c:pt>
                <c:pt idx="5">
                  <c:v>9104</c:v>
                </c:pt>
                <c:pt idx="6">
                  <c:v>11759</c:v>
                </c:pt>
              </c:numCache>
            </c:numRef>
          </c:val>
          <c:extLst>
            <c:ext xmlns:c16="http://schemas.microsoft.com/office/drawing/2014/chart" uri="{C3380CC4-5D6E-409C-BE32-E72D297353CC}">
              <c16:uniqueId val="{00000000-A1A0-45F0-AF1A-E96828883488}"/>
            </c:ext>
          </c:extLst>
        </c:ser>
        <c:ser>
          <c:idx val="1"/>
          <c:order val="1"/>
          <c:tx>
            <c:strRef>
              <c:f>'DCF PivotTable'!$C$32</c:f>
              <c:strCache>
                <c:ptCount val="1"/>
                <c:pt idx="0">
                  <c:v>Average of Equity ($M)</c:v>
                </c:pt>
              </c:strCache>
            </c:strRef>
          </c:tx>
          <c:spPr>
            <a:solidFill>
              <a:schemeClr val="accent3"/>
            </a:solidFill>
            <a:ln>
              <a:noFill/>
            </a:ln>
            <a:effectLst/>
          </c:spPr>
          <c:cat>
            <c:strRef>
              <c:f>'DCF PivotTable'!$A$33:$A$39</c:f>
              <c:strCache>
                <c:ptCount val="7"/>
                <c:pt idx="0">
                  <c:v>FY 2019</c:v>
                </c:pt>
                <c:pt idx="1">
                  <c:v>FY 2020</c:v>
                </c:pt>
                <c:pt idx="2">
                  <c:v>FY 2021</c:v>
                </c:pt>
                <c:pt idx="3">
                  <c:v>FY 2022</c:v>
                </c:pt>
                <c:pt idx="4">
                  <c:v>FY 2023</c:v>
                </c:pt>
                <c:pt idx="5">
                  <c:v>FY 2024</c:v>
                </c:pt>
                <c:pt idx="6">
                  <c:v>FY 2025</c:v>
                </c:pt>
              </c:strCache>
            </c:strRef>
          </c:cat>
          <c:val>
            <c:numRef>
              <c:f>'DCF PivotTable'!$C$33:$C$39</c:f>
              <c:numCache>
                <c:formatCode>General</c:formatCode>
                <c:ptCount val="7"/>
                <c:pt idx="0">
                  <c:v>78638.305900000007</c:v>
                </c:pt>
                <c:pt idx="1">
                  <c:v>92184.2788</c:v>
                </c:pt>
                <c:pt idx="2">
                  <c:v>100962.9999</c:v>
                </c:pt>
                <c:pt idx="3">
                  <c:v>92620.452099999995</c:v>
                </c:pt>
                <c:pt idx="4">
                  <c:v>113873.8682</c:v>
                </c:pt>
                <c:pt idx="5">
                  <c:v>137323.07</c:v>
                </c:pt>
                <c:pt idx="6">
                  <c:v>134437.27499999999</c:v>
                </c:pt>
              </c:numCache>
            </c:numRef>
          </c:val>
          <c:extLst>
            <c:ext xmlns:c16="http://schemas.microsoft.com/office/drawing/2014/chart" uri="{C3380CC4-5D6E-409C-BE32-E72D297353CC}">
              <c16:uniqueId val="{00000001-A1A0-45F0-AF1A-E96828883488}"/>
            </c:ext>
          </c:extLst>
        </c:ser>
        <c:dLbls>
          <c:showLegendKey val="0"/>
          <c:showVal val="0"/>
          <c:showCatName val="0"/>
          <c:showSerName val="0"/>
          <c:showPercent val="0"/>
          <c:showBubbleSize val="0"/>
        </c:dLbls>
        <c:axId val="1879040560"/>
        <c:axId val="1879039600"/>
      </c:areaChart>
      <c:barChart>
        <c:barDir val="col"/>
        <c:grouping val="clustered"/>
        <c:varyColors val="0"/>
        <c:ser>
          <c:idx val="2"/>
          <c:order val="2"/>
          <c:tx>
            <c:strRef>
              <c:f>'DCF PivotTable'!$D$32</c:f>
              <c:strCache>
                <c:ptCount val="1"/>
                <c:pt idx="0">
                  <c:v>Sum of Equity - Debt</c:v>
                </c:pt>
              </c:strCache>
            </c:strRef>
          </c:tx>
          <c:spPr>
            <a:solidFill>
              <a:schemeClr val="accent4"/>
            </a:solidFill>
            <a:ln w="25400">
              <a:noFill/>
            </a:ln>
            <a:effectLst/>
          </c:spPr>
          <c:invertIfNegative val="0"/>
          <c:cat>
            <c:strRef>
              <c:f>'DCF PivotTable'!$A$33:$A$39</c:f>
              <c:strCache>
                <c:ptCount val="7"/>
                <c:pt idx="0">
                  <c:v>FY 2019</c:v>
                </c:pt>
                <c:pt idx="1">
                  <c:v>FY 2020</c:v>
                </c:pt>
                <c:pt idx="2">
                  <c:v>FY 2021</c:v>
                </c:pt>
                <c:pt idx="3">
                  <c:v>FY 2022</c:v>
                </c:pt>
                <c:pt idx="4">
                  <c:v>FY 2023</c:v>
                </c:pt>
                <c:pt idx="5">
                  <c:v>FY 2024</c:v>
                </c:pt>
                <c:pt idx="6">
                  <c:v>FY 2025</c:v>
                </c:pt>
              </c:strCache>
            </c:strRef>
          </c:cat>
          <c:val>
            <c:numRef>
              <c:f>'DCF PivotTable'!$D$33:$D$39</c:f>
              <c:numCache>
                <c:formatCode>General</c:formatCode>
                <c:ptCount val="7"/>
                <c:pt idx="0">
                  <c:v>71973.305900000007</c:v>
                </c:pt>
                <c:pt idx="1">
                  <c:v>81217.2788</c:v>
                </c:pt>
                <c:pt idx="2">
                  <c:v>91502.999899999995</c:v>
                </c:pt>
                <c:pt idx="3">
                  <c:v>81500.452099999995</c:v>
                </c:pt>
                <c:pt idx="4">
                  <c:v>103931.8682</c:v>
                </c:pt>
                <c:pt idx="5">
                  <c:v>128219.07</c:v>
                </c:pt>
                <c:pt idx="6">
                  <c:v>122678.27499999999</c:v>
                </c:pt>
              </c:numCache>
            </c:numRef>
          </c:val>
          <c:extLst>
            <c:ext xmlns:c16="http://schemas.microsoft.com/office/drawing/2014/chart" uri="{C3380CC4-5D6E-409C-BE32-E72D297353CC}">
              <c16:uniqueId val="{00000003-A1A0-45F0-AF1A-E96828883488}"/>
            </c:ext>
          </c:extLst>
        </c:ser>
        <c:dLbls>
          <c:showLegendKey val="0"/>
          <c:showVal val="0"/>
          <c:showCatName val="0"/>
          <c:showSerName val="0"/>
          <c:showPercent val="0"/>
          <c:showBubbleSize val="0"/>
        </c:dLbls>
        <c:gapWidth val="219"/>
        <c:axId val="1879040560"/>
        <c:axId val="1879039600"/>
      </c:barChart>
      <c:catAx>
        <c:axId val="187904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39600"/>
        <c:crosses val="autoZero"/>
        <c:auto val="1"/>
        <c:lblAlgn val="ctr"/>
        <c:lblOffset val="100"/>
        <c:noMultiLvlLbl val="0"/>
      </c:catAx>
      <c:valAx>
        <c:axId val="187903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40560"/>
        <c:crosses val="autoZero"/>
        <c:crossBetween val="between"/>
      </c:valAx>
      <c:spPr>
        <a:noFill/>
        <a:ln>
          <a:noFill/>
        </a:ln>
        <a:effectLst/>
      </c:spPr>
    </c:plotArea>
    <c:legend>
      <c:legendPos val="r"/>
      <c:layout>
        <c:manualLayout>
          <c:xMode val="edge"/>
          <c:yMode val="edge"/>
          <c:x val="0.67856386701662297"/>
          <c:y val="0.48356517935258092"/>
          <c:w val="0.31032502187226596"/>
          <c:h val="0.22814705453484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27-44A8-979A-023355B3A9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27-44A8-979A-023355B3A9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27-44A8-979A-023355B3A9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27-44A8-979A-023355B3A9D2}"/>
              </c:ext>
            </c:extLst>
          </c:dPt>
          <c:cat>
            <c:strRef>
              <c:f>'WACC Dashboard'!$H$6:$H$9</c:f>
              <c:strCache>
                <c:ptCount val="4"/>
                <c:pt idx="0">
                  <c:v>% Equity</c:v>
                </c:pt>
                <c:pt idx="1">
                  <c:v>%Preferred Equity</c:v>
                </c:pt>
                <c:pt idx="2">
                  <c:v>% Short-Term Debt</c:v>
                </c:pt>
                <c:pt idx="3">
                  <c:v>% Long-Term Debt</c:v>
                </c:pt>
              </c:strCache>
            </c:strRef>
          </c:cat>
          <c:val>
            <c:numRef>
              <c:f>'WACC Dashboard'!$I$6:$I$9</c:f>
              <c:numCache>
                <c:formatCode>0.00%</c:formatCode>
                <c:ptCount val="4"/>
                <c:pt idx="0">
                  <c:v>0.89200000000000002</c:v>
                </c:pt>
                <c:pt idx="1">
                  <c:v>0</c:v>
                </c:pt>
                <c:pt idx="2">
                  <c:v>8.0000000000000002E-3</c:v>
                </c:pt>
                <c:pt idx="3">
                  <c:v>0.10100000000000001</c:v>
                </c:pt>
              </c:numCache>
            </c:numRef>
          </c:val>
          <c:extLst>
            <c:ext xmlns:c16="http://schemas.microsoft.com/office/drawing/2014/chart" uri="{C3380CC4-5D6E-409C-BE32-E72D297353CC}">
              <c16:uniqueId val="{00000000-C6D7-45FA-912D-29E3763C9F1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WACC to Equity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Equity</c:v>
          </c:tx>
          <c:spPr>
            <a:solidFill>
              <a:schemeClr val="accent1"/>
            </a:solidFill>
            <a:ln>
              <a:noFill/>
            </a:ln>
            <a:effectLst/>
          </c:spPr>
          <c:cat>
            <c:strRef>
              <c:f>'WACC Dashboard'!$B$1:$F$1</c:f>
              <c:strCache>
                <c:ptCount val="5"/>
                <c:pt idx="0">
                  <c:v>SYK</c:v>
                </c:pt>
                <c:pt idx="1">
                  <c:v>JNJ</c:v>
                </c:pt>
                <c:pt idx="2">
                  <c:v>ABT</c:v>
                </c:pt>
                <c:pt idx="3">
                  <c:v>BSX</c:v>
                </c:pt>
                <c:pt idx="4">
                  <c:v>EW</c:v>
                </c:pt>
              </c:strCache>
            </c:strRef>
          </c:cat>
          <c:val>
            <c:numRef>
              <c:f>'WACC Dashboard'!$B$2:$F$2</c:f>
              <c:numCache>
                <c:formatCode>_("$"* #,##0.00_);_("$"* \(#,##0.00\);_("$"* "-"??_);_(@_)</c:formatCode>
                <c:ptCount val="5"/>
                <c:pt idx="0">
                  <c:v>134437.29999999999</c:v>
                </c:pt>
                <c:pt idx="1">
                  <c:v>499960.4</c:v>
                </c:pt>
                <c:pt idx="2">
                  <c:v>217578.5</c:v>
                </c:pt>
                <c:pt idx="3">
                  <c:v>141404.1</c:v>
                </c:pt>
                <c:pt idx="4">
                  <c:v>49504.7</c:v>
                </c:pt>
              </c:numCache>
            </c:numRef>
          </c:val>
          <c:extLst>
            <c:ext xmlns:c16="http://schemas.microsoft.com/office/drawing/2014/chart" uri="{C3380CC4-5D6E-409C-BE32-E72D297353CC}">
              <c16:uniqueId val="{00000000-16E3-47BF-872A-72415578DBA4}"/>
            </c:ext>
          </c:extLst>
        </c:ser>
        <c:dLbls>
          <c:showLegendKey val="0"/>
          <c:showVal val="0"/>
          <c:showCatName val="0"/>
          <c:showSerName val="0"/>
          <c:showPercent val="0"/>
          <c:showBubbleSize val="0"/>
        </c:dLbls>
        <c:axId val="1855154272"/>
        <c:axId val="1825303984"/>
      </c:areaChart>
      <c:barChart>
        <c:barDir val="col"/>
        <c:grouping val="clustered"/>
        <c:varyColors val="0"/>
        <c:ser>
          <c:idx val="1"/>
          <c:order val="1"/>
          <c:tx>
            <c:v>WACC</c:v>
          </c:tx>
          <c:spPr>
            <a:solidFill>
              <a:schemeClr val="accent2"/>
            </a:solidFill>
            <a:ln>
              <a:noFill/>
            </a:ln>
            <a:effectLst/>
          </c:spPr>
          <c:invertIfNegative val="0"/>
          <c:cat>
            <c:strRef>
              <c:f>'WACC Dashboard'!$B$1:$F$1</c:f>
              <c:strCache>
                <c:ptCount val="5"/>
                <c:pt idx="0">
                  <c:v>SYK</c:v>
                </c:pt>
                <c:pt idx="1">
                  <c:v>JNJ</c:v>
                </c:pt>
                <c:pt idx="2">
                  <c:v>ABT</c:v>
                </c:pt>
                <c:pt idx="3">
                  <c:v>BSX</c:v>
                </c:pt>
                <c:pt idx="4">
                  <c:v>EW</c:v>
                </c:pt>
              </c:strCache>
            </c:strRef>
          </c:cat>
          <c:val>
            <c:numRef>
              <c:f>'WACC Dashboard'!$B$16:$F$16</c:f>
              <c:numCache>
                <c:formatCode>0.00%</c:formatCode>
                <c:ptCount val="5"/>
                <c:pt idx="0">
                  <c:v>8.7577960504792857E-2</c:v>
                </c:pt>
                <c:pt idx="1">
                  <c:v>5.8787604162813492E-2</c:v>
                </c:pt>
                <c:pt idx="2">
                  <c:v>8.2406590753936401E-2</c:v>
                </c:pt>
                <c:pt idx="3">
                  <c:v>8.2820478963231067E-2</c:v>
                </c:pt>
                <c:pt idx="4">
                  <c:v>9.3768560580130084E-2</c:v>
                </c:pt>
              </c:numCache>
            </c:numRef>
          </c:val>
          <c:extLst>
            <c:ext xmlns:c16="http://schemas.microsoft.com/office/drawing/2014/chart" uri="{C3380CC4-5D6E-409C-BE32-E72D297353CC}">
              <c16:uniqueId val="{00000001-16E3-47BF-872A-72415578DBA4}"/>
            </c:ext>
          </c:extLst>
        </c:ser>
        <c:dLbls>
          <c:showLegendKey val="0"/>
          <c:showVal val="0"/>
          <c:showCatName val="0"/>
          <c:showSerName val="0"/>
          <c:showPercent val="0"/>
          <c:showBubbleSize val="0"/>
        </c:dLbls>
        <c:gapWidth val="219"/>
        <c:axId val="62451503"/>
        <c:axId val="62440463"/>
      </c:barChart>
      <c:catAx>
        <c:axId val="6245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0463"/>
        <c:crosses val="autoZero"/>
        <c:auto val="1"/>
        <c:lblAlgn val="ctr"/>
        <c:lblOffset val="100"/>
        <c:noMultiLvlLbl val="0"/>
      </c:catAx>
      <c:valAx>
        <c:axId val="62440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1503"/>
        <c:crosses val="autoZero"/>
        <c:crossBetween val="between"/>
      </c:valAx>
      <c:valAx>
        <c:axId val="1825303984"/>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54272"/>
        <c:crosses val="max"/>
        <c:crossBetween val="between"/>
      </c:valAx>
      <c:catAx>
        <c:axId val="1855154272"/>
        <c:scaling>
          <c:orientation val="minMax"/>
        </c:scaling>
        <c:delete val="1"/>
        <c:axPos val="b"/>
        <c:numFmt formatCode="General" sourceLinked="1"/>
        <c:majorTickMark val="out"/>
        <c:minorTickMark val="none"/>
        <c:tickLblPos val="nextTo"/>
        <c:crossAx val="1825303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[H_Waseem_SYK_DCF_Full.xlsx]WACC PivotTable!PivotTable3</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'WACC PivotTable'!$B$3</c:f>
              <c:strCache>
                <c:ptCount val="1"/>
                <c:pt idx="0">
                  <c:v>Average of SYK</c:v>
                </c:pt>
              </c:strCache>
            </c:strRef>
          </c:tx>
          <c:spPr>
            <a:ln w="28575" cap="rnd">
              <a:solidFill>
                <a:schemeClr val="accent1"/>
              </a:solidFill>
              <a:round/>
            </a:ln>
            <a:effectLst/>
          </c:spPr>
          <c:marker>
            <c:symbol val="none"/>
          </c:marker>
          <c:cat>
            <c:strRef>
              <c:f>'WACC PivotTable'!$A$4:$A$66</c:f>
              <c:strCache>
                <c:ptCount val="63"/>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6/1/2023</c:v>
                </c:pt>
                <c:pt idx="30">
                  <c:v>7/1/2023</c:v>
                </c:pt>
                <c:pt idx="31">
                  <c:v>8/1/2023</c:v>
                </c:pt>
                <c:pt idx="32">
                  <c:v>9/1/2023</c:v>
                </c:pt>
                <c:pt idx="33">
                  <c:v>10/1/2023</c:v>
                </c:pt>
                <c:pt idx="34">
                  <c:v>11/1/2023</c:v>
                </c:pt>
                <c:pt idx="35">
                  <c:v>12/1/2023</c:v>
                </c:pt>
                <c:pt idx="36">
                  <c:v>1/1/2024</c:v>
                </c:pt>
                <c:pt idx="37">
                  <c:v>2/1/2024</c:v>
                </c:pt>
                <c:pt idx="38">
                  <c:v>3/1/2024</c:v>
                </c:pt>
                <c:pt idx="39">
                  <c:v>4/1/2024</c:v>
                </c:pt>
                <c:pt idx="40">
                  <c:v>5/1/2024</c:v>
                </c:pt>
                <c:pt idx="41">
                  <c:v>6/1/2024</c:v>
                </c:pt>
                <c:pt idx="42">
                  <c:v>7/1/2024</c:v>
                </c:pt>
                <c:pt idx="43">
                  <c:v>8/1/2024</c:v>
                </c:pt>
                <c:pt idx="44">
                  <c:v>9/1/2024</c:v>
                </c:pt>
                <c:pt idx="45">
                  <c:v>10/1/2024</c:v>
                </c:pt>
                <c:pt idx="46">
                  <c:v>11/1/2024</c:v>
                </c:pt>
                <c:pt idx="47">
                  <c:v>12/1/2024</c:v>
                </c:pt>
                <c:pt idx="48">
                  <c:v>1/1/2025</c:v>
                </c:pt>
                <c:pt idx="49">
                  <c:v>2/1/2025</c:v>
                </c:pt>
                <c:pt idx="50">
                  <c:v>3/1/2025</c:v>
                </c:pt>
                <c:pt idx="51">
                  <c:v>4/1/2025</c:v>
                </c:pt>
                <c:pt idx="52">
                  <c:v>5/1/2025</c:v>
                </c:pt>
                <c:pt idx="53">
                  <c:v>6/1/2025</c:v>
                </c:pt>
                <c:pt idx="54">
                  <c:v>7/1/2025</c:v>
                </c:pt>
                <c:pt idx="55">
                  <c:v>8/1/2025</c:v>
                </c:pt>
                <c:pt idx="56">
                  <c:v>9/1/2025</c:v>
                </c:pt>
                <c:pt idx="57">
                  <c:v>10/1/2025</c:v>
                </c:pt>
                <c:pt idx="58">
                  <c:v>11/1/2025</c:v>
                </c:pt>
                <c:pt idx="59">
                  <c:v>12/1/2025</c:v>
                </c:pt>
                <c:pt idx="60">
                  <c:v>1/1/2026</c:v>
                </c:pt>
                <c:pt idx="61">
                  <c:v>2/1/2026</c:v>
                </c:pt>
                <c:pt idx="62">
                  <c:v>3/1/2026</c:v>
                </c:pt>
              </c:strCache>
            </c:strRef>
          </c:cat>
          <c:val>
            <c:numRef>
              <c:f>'WACC PivotTable'!$B$4:$B$66</c:f>
              <c:numCache>
                <c:formatCode>_("$"* #,##0.00_);_("$"* \(#,##0.00\);_("$"* "-"??_);_(@_)</c:formatCode>
                <c:ptCount val="63"/>
                <c:pt idx="0">
                  <c:v>221.01</c:v>
                </c:pt>
                <c:pt idx="1">
                  <c:v>242.69</c:v>
                </c:pt>
                <c:pt idx="2">
                  <c:v>243.58</c:v>
                </c:pt>
                <c:pt idx="3">
                  <c:v>262.63</c:v>
                </c:pt>
                <c:pt idx="4">
                  <c:v>255.27</c:v>
                </c:pt>
                <c:pt idx="5">
                  <c:v>259.73</c:v>
                </c:pt>
                <c:pt idx="6">
                  <c:v>270.94</c:v>
                </c:pt>
                <c:pt idx="7">
                  <c:v>277.10000000000002</c:v>
                </c:pt>
                <c:pt idx="8">
                  <c:v>263.72000000000003</c:v>
                </c:pt>
                <c:pt idx="9">
                  <c:v>266.07</c:v>
                </c:pt>
                <c:pt idx="10">
                  <c:v>236.63</c:v>
                </c:pt>
                <c:pt idx="11">
                  <c:v>267.42</c:v>
                </c:pt>
                <c:pt idx="12">
                  <c:v>248.05</c:v>
                </c:pt>
                <c:pt idx="13">
                  <c:v>263.35000000000002</c:v>
                </c:pt>
                <c:pt idx="14">
                  <c:v>267.35000000000002</c:v>
                </c:pt>
                <c:pt idx="15">
                  <c:v>241.26</c:v>
                </c:pt>
                <c:pt idx="16">
                  <c:v>234.5</c:v>
                </c:pt>
                <c:pt idx="17">
                  <c:v>198.93</c:v>
                </c:pt>
                <c:pt idx="18">
                  <c:v>214.75</c:v>
                </c:pt>
                <c:pt idx="19">
                  <c:v>205.2</c:v>
                </c:pt>
                <c:pt idx="20">
                  <c:v>202.54</c:v>
                </c:pt>
                <c:pt idx="21">
                  <c:v>229.24</c:v>
                </c:pt>
                <c:pt idx="22">
                  <c:v>233.89</c:v>
                </c:pt>
                <c:pt idx="23">
                  <c:v>244.49</c:v>
                </c:pt>
                <c:pt idx="24">
                  <c:v>253.81</c:v>
                </c:pt>
                <c:pt idx="25">
                  <c:v>262.88</c:v>
                </c:pt>
                <c:pt idx="26">
                  <c:v>285.47000000000003</c:v>
                </c:pt>
                <c:pt idx="27">
                  <c:v>299.64999999999998</c:v>
                </c:pt>
                <c:pt idx="28">
                  <c:v>275.58</c:v>
                </c:pt>
                <c:pt idx="29">
                  <c:v>305.08999999999997</c:v>
                </c:pt>
                <c:pt idx="30">
                  <c:v>283.41000000000003</c:v>
                </c:pt>
                <c:pt idx="31">
                  <c:v>283.55</c:v>
                </c:pt>
                <c:pt idx="32">
                  <c:v>273.27</c:v>
                </c:pt>
                <c:pt idx="33">
                  <c:v>270.22000000000003</c:v>
                </c:pt>
                <c:pt idx="34">
                  <c:v>296.33</c:v>
                </c:pt>
                <c:pt idx="35">
                  <c:v>299.45999999999998</c:v>
                </c:pt>
                <c:pt idx="36">
                  <c:v>335.48</c:v>
                </c:pt>
                <c:pt idx="37">
                  <c:v>349.07</c:v>
                </c:pt>
                <c:pt idx="38">
                  <c:v>357.87</c:v>
                </c:pt>
                <c:pt idx="39">
                  <c:v>336.5</c:v>
                </c:pt>
                <c:pt idx="40">
                  <c:v>341.09</c:v>
                </c:pt>
                <c:pt idx="41">
                  <c:v>340.25</c:v>
                </c:pt>
                <c:pt idx="42">
                  <c:v>327.45</c:v>
                </c:pt>
                <c:pt idx="43">
                  <c:v>360.42</c:v>
                </c:pt>
                <c:pt idx="44">
                  <c:v>361.26</c:v>
                </c:pt>
                <c:pt idx="45">
                  <c:v>356.28</c:v>
                </c:pt>
                <c:pt idx="46">
                  <c:v>392.15</c:v>
                </c:pt>
                <c:pt idx="47">
                  <c:v>360.05</c:v>
                </c:pt>
                <c:pt idx="48">
                  <c:v>391.29</c:v>
                </c:pt>
                <c:pt idx="49">
                  <c:v>386.19</c:v>
                </c:pt>
                <c:pt idx="50">
                  <c:v>372.25</c:v>
                </c:pt>
                <c:pt idx="51">
                  <c:v>373.92</c:v>
                </c:pt>
                <c:pt idx="52">
                  <c:v>382.64</c:v>
                </c:pt>
                <c:pt idx="53">
                  <c:v>395.63</c:v>
                </c:pt>
                <c:pt idx="54">
                  <c:v>392.73</c:v>
                </c:pt>
                <c:pt idx="55">
                  <c:v>391.41</c:v>
                </c:pt>
                <c:pt idx="56">
                  <c:v>369.67</c:v>
                </c:pt>
                <c:pt idx="57">
                  <c:v>356.24</c:v>
                </c:pt>
                <c:pt idx="58">
                  <c:v>371.18</c:v>
                </c:pt>
                <c:pt idx="59">
                  <c:v>351.47</c:v>
                </c:pt>
                <c:pt idx="60">
                  <c:v>369.56</c:v>
                </c:pt>
                <c:pt idx="61">
                  <c:v>387.46</c:v>
                </c:pt>
                <c:pt idx="62">
                  <c:v>328.59</c:v>
                </c:pt>
              </c:numCache>
            </c:numRef>
          </c:val>
          <c:smooth val="0"/>
          <c:extLst>
            <c:ext xmlns:c16="http://schemas.microsoft.com/office/drawing/2014/chart" uri="{C3380CC4-5D6E-409C-BE32-E72D297353CC}">
              <c16:uniqueId val="{0000000E-C3C0-4666-8A4C-B8E0286979CD}"/>
            </c:ext>
          </c:extLst>
        </c:ser>
        <c:ser>
          <c:idx val="1"/>
          <c:order val="1"/>
          <c:tx>
            <c:strRef>
              <c:f>'WACC PivotTable'!$C$3</c:f>
              <c:strCache>
                <c:ptCount val="1"/>
                <c:pt idx="0">
                  <c:v>Average of JNJ</c:v>
                </c:pt>
              </c:strCache>
            </c:strRef>
          </c:tx>
          <c:spPr>
            <a:ln w="28575" cap="rnd">
              <a:solidFill>
                <a:schemeClr val="accent2"/>
              </a:solidFill>
              <a:round/>
            </a:ln>
            <a:effectLst/>
          </c:spPr>
          <c:marker>
            <c:symbol val="none"/>
          </c:marker>
          <c:cat>
            <c:strRef>
              <c:f>'WACC PivotTable'!$A$4:$A$66</c:f>
              <c:strCache>
                <c:ptCount val="63"/>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6/1/2023</c:v>
                </c:pt>
                <c:pt idx="30">
                  <c:v>7/1/2023</c:v>
                </c:pt>
                <c:pt idx="31">
                  <c:v>8/1/2023</c:v>
                </c:pt>
                <c:pt idx="32">
                  <c:v>9/1/2023</c:v>
                </c:pt>
                <c:pt idx="33">
                  <c:v>10/1/2023</c:v>
                </c:pt>
                <c:pt idx="34">
                  <c:v>11/1/2023</c:v>
                </c:pt>
                <c:pt idx="35">
                  <c:v>12/1/2023</c:v>
                </c:pt>
                <c:pt idx="36">
                  <c:v>1/1/2024</c:v>
                </c:pt>
                <c:pt idx="37">
                  <c:v>2/1/2024</c:v>
                </c:pt>
                <c:pt idx="38">
                  <c:v>3/1/2024</c:v>
                </c:pt>
                <c:pt idx="39">
                  <c:v>4/1/2024</c:v>
                </c:pt>
                <c:pt idx="40">
                  <c:v>5/1/2024</c:v>
                </c:pt>
                <c:pt idx="41">
                  <c:v>6/1/2024</c:v>
                </c:pt>
                <c:pt idx="42">
                  <c:v>7/1/2024</c:v>
                </c:pt>
                <c:pt idx="43">
                  <c:v>8/1/2024</c:v>
                </c:pt>
                <c:pt idx="44">
                  <c:v>9/1/2024</c:v>
                </c:pt>
                <c:pt idx="45">
                  <c:v>10/1/2024</c:v>
                </c:pt>
                <c:pt idx="46">
                  <c:v>11/1/2024</c:v>
                </c:pt>
                <c:pt idx="47">
                  <c:v>12/1/2024</c:v>
                </c:pt>
                <c:pt idx="48">
                  <c:v>1/1/2025</c:v>
                </c:pt>
                <c:pt idx="49">
                  <c:v>2/1/2025</c:v>
                </c:pt>
                <c:pt idx="50">
                  <c:v>3/1/2025</c:v>
                </c:pt>
                <c:pt idx="51">
                  <c:v>4/1/2025</c:v>
                </c:pt>
                <c:pt idx="52">
                  <c:v>5/1/2025</c:v>
                </c:pt>
                <c:pt idx="53">
                  <c:v>6/1/2025</c:v>
                </c:pt>
                <c:pt idx="54">
                  <c:v>7/1/2025</c:v>
                </c:pt>
                <c:pt idx="55">
                  <c:v>8/1/2025</c:v>
                </c:pt>
                <c:pt idx="56">
                  <c:v>9/1/2025</c:v>
                </c:pt>
                <c:pt idx="57">
                  <c:v>10/1/2025</c:v>
                </c:pt>
                <c:pt idx="58">
                  <c:v>11/1/2025</c:v>
                </c:pt>
                <c:pt idx="59">
                  <c:v>12/1/2025</c:v>
                </c:pt>
                <c:pt idx="60">
                  <c:v>1/1/2026</c:v>
                </c:pt>
                <c:pt idx="61">
                  <c:v>2/1/2026</c:v>
                </c:pt>
                <c:pt idx="62">
                  <c:v>3/1/2026</c:v>
                </c:pt>
              </c:strCache>
            </c:strRef>
          </c:cat>
          <c:val>
            <c:numRef>
              <c:f>'WACC PivotTable'!$C$4:$C$66</c:f>
              <c:numCache>
                <c:formatCode>_("$"* #,##0.00_);_("$"* \(#,##0.00\);_("$"* "-"??_);_(@_)</c:formatCode>
                <c:ptCount val="63"/>
                <c:pt idx="0">
                  <c:v>163.13</c:v>
                </c:pt>
                <c:pt idx="1">
                  <c:v>158.46</c:v>
                </c:pt>
                <c:pt idx="2">
                  <c:v>164.35</c:v>
                </c:pt>
                <c:pt idx="3">
                  <c:v>162.72999999999999</c:v>
                </c:pt>
                <c:pt idx="4">
                  <c:v>169.25</c:v>
                </c:pt>
                <c:pt idx="5">
                  <c:v>164.74</c:v>
                </c:pt>
                <c:pt idx="6">
                  <c:v>172.2</c:v>
                </c:pt>
                <c:pt idx="7">
                  <c:v>173.13</c:v>
                </c:pt>
                <c:pt idx="8">
                  <c:v>161.5</c:v>
                </c:pt>
                <c:pt idx="9">
                  <c:v>162.88</c:v>
                </c:pt>
                <c:pt idx="10">
                  <c:v>155.93</c:v>
                </c:pt>
                <c:pt idx="11">
                  <c:v>171.07</c:v>
                </c:pt>
                <c:pt idx="12">
                  <c:v>172.29</c:v>
                </c:pt>
                <c:pt idx="13">
                  <c:v>164.57</c:v>
                </c:pt>
                <c:pt idx="14">
                  <c:v>177.23</c:v>
                </c:pt>
                <c:pt idx="15">
                  <c:v>180.46</c:v>
                </c:pt>
                <c:pt idx="16">
                  <c:v>179.53</c:v>
                </c:pt>
                <c:pt idx="17">
                  <c:v>177.51</c:v>
                </c:pt>
                <c:pt idx="18">
                  <c:v>174.52</c:v>
                </c:pt>
                <c:pt idx="19">
                  <c:v>161.34</c:v>
                </c:pt>
                <c:pt idx="20">
                  <c:v>163.36000000000001</c:v>
                </c:pt>
                <c:pt idx="21">
                  <c:v>173.97</c:v>
                </c:pt>
                <c:pt idx="22">
                  <c:v>178</c:v>
                </c:pt>
                <c:pt idx="23">
                  <c:v>176.65</c:v>
                </c:pt>
                <c:pt idx="24">
                  <c:v>163.41999999999999</c:v>
                </c:pt>
                <c:pt idx="25">
                  <c:v>153.26</c:v>
                </c:pt>
                <c:pt idx="26">
                  <c:v>155</c:v>
                </c:pt>
                <c:pt idx="27">
                  <c:v>163.69999999999999</c:v>
                </c:pt>
                <c:pt idx="28">
                  <c:v>155.06</c:v>
                </c:pt>
                <c:pt idx="29">
                  <c:v>165.52</c:v>
                </c:pt>
                <c:pt idx="30">
                  <c:v>167.53</c:v>
                </c:pt>
                <c:pt idx="31">
                  <c:v>161.68</c:v>
                </c:pt>
                <c:pt idx="32">
                  <c:v>155.75</c:v>
                </c:pt>
                <c:pt idx="33">
                  <c:v>148.34</c:v>
                </c:pt>
                <c:pt idx="34">
                  <c:v>154.66</c:v>
                </c:pt>
                <c:pt idx="35">
                  <c:v>156.74</c:v>
                </c:pt>
                <c:pt idx="36">
                  <c:v>158.9</c:v>
                </c:pt>
                <c:pt idx="37">
                  <c:v>161.38</c:v>
                </c:pt>
                <c:pt idx="38">
                  <c:v>158.19</c:v>
                </c:pt>
                <c:pt idx="39">
                  <c:v>144.59</c:v>
                </c:pt>
                <c:pt idx="40">
                  <c:v>146.66999999999999</c:v>
                </c:pt>
                <c:pt idx="41">
                  <c:v>146.16</c:v>
                </c:pt>
                <c:pt idx="42">
                  <c:v>157.85</c:v>
                </c:pt>
                <c:pt idx="43">
                  <c:v>165.86</c:v>
                </c:pt>
                <c:pt idx="44">
                  <c:v>162.06</c:v>
                </c:pt>
                <c:pt idx="45">
                  <c:v>159.86000000000001</c:v>
                </c:pt>
                <c:pt idx="46">
                  <c:v>155.01</c:v>
                </c:pt>
                <c:pt idx="47">
                  <c:v>144.62</c:v>
                </c:pt>
                <c:pt idx="48">
                  <c:v>152.15</c:v>
                </c:pt>
                <c:pt idx="49">
                  <c:v>165.02</c:v>
                </c:pt>
                <c:pt idx="50">
                  <c:v>165.84</c:v>
                </c:pt>
                <c:pt idx="51">
                  <c:v>156.31</c:v>
                </c:pt>
                <c:pt idx="52">
                  <c:v>155.21</c:v>
                </c:pt>
                <c:pt idx="53">
                  <c:v>152.75</c:v>
                </c:pt>
                <c:pt idx="54">
                  <c:v>164.74</c:v>
                </c:pt>
                <c:pt idx="55">
                  <c:v>177.17</c:v>
                </c:pt>
                <c:pt idx="56">
                  <c:v>185.42</c:v>
                </c:pt>
                <c:pt idx="57">
                  <c:v>188.87</c:v>
                </c:pt>
                <c:pt idx="58">
                  <c:v>206.92</c:v>
                </c:pt>
                <c:pt idx="59">
                  <c:v>206.95</c:v>
                </c:pt>
                <c:pt idx="60">
                  <c:v>227.25</c:v>
                </c:pt>
                <c:pt idx="61">
                  <c:v>248.43</c:v>
                </c:pt>
                <c:pt idx="62">
                  <c:v>244.44</c:v>
                </c:pt>
              </c:numCache>
            </c:numRef>
          </c:val>
          <c:smooth val="0"/>
          <c:extLst>
            <c:ext xmlns:c16="http://schemas.microsoft.com/office/drawing/2014/chart" uri="{C3380CC4-5D6E-409C-BE32-E72D297353CC}">
              <c16:uniqueId val="{0000000F-C3C0-4666-8A4C-B8E0286979CD}"/>
            </c:ext>
          </c:extLst>
        </c:ser>
        <c:ser>
          <c:idx val="2"/>
          <c:order val="2"/>
          <c:tx>
            <c:strRef>
              <c:f>'WACC PivotTable'!$D$3</c:f>
              <c:strCache>
                <c:ptCount val="1"/>
                <c:pt idx="0">
                  <c:v>Average of ABT</c:v>
                </c:pt>
              </c:strCache>
            </c:strRef>
          </c:tx>
          <c:spPr>
            <a:ln w="28575" cap="rnd">
              <a:solidFill>
                <a:schemeClr val="accent3"/>
              </a:solidFill>
              <a:round/>
            </a:ln>
            <a:effectLst/>
          </c:spPr>
          <c:marker>
            <c:symbol val="none"/>
          </c:marker>
          <c:cat>
            <c:strRef>
              <c:f>'WACC PivotTable'!$A$4:$A$66</c:f>
              <c:strCache>
                <c:ptCount val="63"/>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6/1/2023</c:v>
                </c:pt>
                <c:pt idx="30">
                  <c:v>7/1/2023</c:v>
                </c:pt>
                <c:pt idx="31">
                  <c:v>8/1/2023</c:v>
                </c:pt>
                <c:pt idx="32">
                  <c:v>9/1/2023</c:v>
                </c:pt>
                <c:pt idx="33">
                  <c:v>10/1/2023</c:v>
                </c:pt>
                <c:pt idx="34">
                  <c:v>11/1/2023</c:v>
                </c:pt>
                <c:pt idx="35">
                  <c:v>12/1/2023</c:v>
                </c:pt>
                <c:pt idx="36">
                  <c:v>1/1/2024</c:v>
                </c:pt>
                <c:pt idx="37">
                  <c:v>2/1/2024</c:v>
                </c:pt>
                <c:pt idx="38">
                  <c:v>3/1/2024</c:v>
                </c:pt>
                <c:pt idx="39">
                  <c:v>4/1/2024</c:v>
                </c:pt>
                <c:pt idx="40">
                  <c:v>5/1/2024</c:v>
                </c:pt>
                <c:pt idx="41">
                  <c:v>6/1/2024</c:v>
                </c:pt>
                <c:pt idx="42">
                  <c:v>7/1/2024</c:v>
                </c:pt>
                <c:pt idx="43">
                  <c:v>8/1/2024</c:v>
                </c:pt>
                <c:pt idx="44">
                  <c:v>9/1/2024</c:v>
                </c:pt>
                <c:pt idx="45">
                  <c:v>10/1/2024</c:v>
                </c:pt>
                <c:pt idx="46">
                  <c:v>11/1/2024</c:v>
                </c:pt>
                <c:pt idx="47">
                  <c:v>12/1/2024</c:v>
                </c:pt>
                <c:pt idx="48">
                  <c:v>1/1/2025</c:v>
                </c:pt>
                <c:pt idx="49">
                  <c:v>2/1/2025</c:v>
                </c:pt>
                <c:pt idx="50">
                  <c:v>3/1/2025</c:v>
                </c:pt>
                <c:pt idx="51">
                  <c:v>4/1/2025</c:v>
                </c:pt>
                <c:pt idx="52">
                  <c:v>5/1/2025</c:v>
                </c:pt>
                <c:pt idx="53">
                  <c:v>6/1/2025</c:v>
                </c:pt>
                <c:pt idx="54">
                  <c:v>7/1/2025</c:v>
                </c:pt>
                <c:pt idx="55">
                  <c:v>8/1/2025</c:v>
                </c:pt>
                <c:pt idx="56">
                  <c:v>9/1/2025</c:v>
                </c:pt>
                <c:pt idx="57">
                  <c:v>10/1/2025</c:v>
                </c:pt>
                <c:pt idx="58">
                  <c:v>11/1/2025</c:v>
                </c:pt>
                <c:pt idx="59">
                  <c:v>12/1/2025</c:v>
                </c:pt>
                <c:pt idx="60">
                  <c:v>1/1/2026</c:v>
                </c:pt>
                <c:pt idx="61">
                  <c:v>2/1/2026</c:v>
                </c:pt>
                <c:pt idx="62">
                  <c:v>3/1/2026</c:v>
                </c:pt>
              </c:strCache>
            </c:strRef>
          </c:cat>
          <c:val>
            <c:numRef>
              <c:f>'WACC PivotTable'!$D$4:$D$66</c:f>
              <c:numCache>
                <c:formatCode>_("$"* #,##0.00_);_("$"* \(#,##0.00\);_("$"* "-"??_);_(@_)</c:formatCode>
                <c:ptCount val="63"/>
                <c:pt idx="0">
                  <c:v>123.59</c:v>
                </c:pt>
                <c:pt idx="1">
                  <c:v>119.78</c:v>
                </c:pt>
                <c:pt idx="2">
                  <c:v>119.84</c:v>
                </c:pt>
                <c:pt idx="3">
                  <c:v>120.08</c:v>
                </c:pt>
                <c:pt idx="4">
                  <c:v>116.65</c:v>
                </c:pt>
                <c:pt idx="5">
                  <c:v>115.93</c:v>
                </c:pt>
                <c:pt idx="6">
                  <c:v>120.98</c:v>
                </c:pt>
                <c:pt idx="7">
                  <c:v>126.37</c:v>
                </c:pt>
                <c:pt idx="8">
                  <c:v>118.13</c:v>
                </c:pt>
                <c:pt idx="9">
                  <c:v>128.88999999999999</c:v>
                </c:pt>
                <c:pt idx="10">
                  <c:v>125.77</c:v>
                </c:pt>
                <c:pt idx="11">
                  <c:v>140.74</c:v>
                </c:pt>
                <c:pt idx="12">
                  <c:v>127.46</c:v>
                </c:pt>
                <c:pt idx="13">
                  <c:v>120.62</c:v>
                </c:pt>
                <c:pt idx="14">
                  <c:v>118.36</c:v>
                </c:pt>
                <c:pt idx="15">
                  <c:v>113.5</c:v>
                </c:pt>
                <c:pt idx="16">
                  <c:v>117.46</c:v>
                </c:pt>
                <c:pt idx="17">
                  <c:v>108.65</c:v>
                </c:pt>
                <c:pt idx="18">
                  <c:v>108.84</c:v>
                </c:pt>
                <c:pt idx="19">
                  <c:v>102.65</c:v>
                </c:pt>
                <c:pt idx="20">
                  <c:v>96.76</c:v>
                </c:pt>
                <c:pt idx="21">
                  <c:v>98.94</c:v>
                </c:pt>
                <c:pt idx="22">
                  <c:v>107.58</c:v>
                </c:pt>
                <c:pt idx="23">
                  <c:v>109.79</c:v>
                </c:pt>
                <c:pt idx="24">
                  <c:v>110.55</c:v>
                </c:pt>
                <c:pt idx="25">
                  <c:v>101.72</c:v>
                </c:pt>
                <c:pt idx="26">
                  <c:v>101.26</c:v>
                </c:pt>
                <c:pt idx="27">
                  <c:v>110.47</c:v>
                </c:pt>
                <c:pt idx="28">
                  <c:v>102</c:v>
                </c:pt>
                <c:pt idx="29">
                  <c:v>109.02</c:v>
                </c:pt>
                <c:pt idx="30">
                  <c:v>111.33</c:v>
                </c:pt>
                <c:pt idx="31">
                  <c:v>102.9</c:v>
                </c:pt>
                <c:pt idx="32">
                  <c:v>96.85</c:v>
                </c:pt>
                <c:pt idx="33">
                  <c:v>94.55</c:v>
                </c:pt>
                <c:pt idx="34">
                  <c:v>104.29</c:v>
                </c:pt>
                <c:pt idx="35">
                  <c:v>110.07</c:v>
                </c:pt>
                <c:pt idx="36">
                  <c:v>113.15</c:v>
                </c:pt>
                <c:pt idx="37">
                  <c:v>118.64</c:v>
                </c:pt>
                <c:pt idx="38">
                  <c:v>113.66</c:v>
                </c:pt>
                <c:pt idx="39">
                  <c:v>105.97</c:v>
                </c:pt>
                <c:pt idx="40">
                  <c:v>102.19</c:v>
                </c:pt>
                <c:pt idx="41">
                  <c:v>103.91</c:v>
                </c:pt>
                <c:pt idx="42">
                  <c:v>105.94</c:v>
                </c:pt>
                <c:pt idx="43">
                  <c:v>113.27</c:v>
                </c:pt>
                <c:pt idx="44">
                  <c:v>114.01</c:v>
                </c:pt>
                <c:pt idx="45">
                  <c:v>113.37</c:v>
                </c:pt>
                <c:pt idx="46">
                  <c:v>118.77</c:v>
                </c:pt>
                <c:pt idx="47">
                  <c:v>113.11</c:v>
                </c:pt>
                <c:pt idx="48">
                  <c:v>127.93</c:v>
                </c:pt>
                <c:pt idx="49">
                  <c:v>138.01</c:v>
                </c:pt>
                <c:pt idx="50">
                  <c:v>132.65</c:v>
                </c:pt>
                <c:pt idx="51">
                  <c:v>130.75</c:v>
                </c:pt>
                <c:pt idx="52">
                  <c:v>133.58000000000001</c:v>
                </c:pt>
                <c:pt idx="53">
                  <c:v>136.01</c:v>
                </c:pt>
                <c:pt idx="54">
                  <c:v>126.19</c:v>
                </c:pt>
                <c:pt idx="55">
                  <c:v>132.66</c:v>
                </c:pt>
                <c:pt idx="56">
                  <c:v>133.94</c:v>
                </c:pt>
                <c:pt idx="57">
                  <c:v>123.62</c:v>
                </c:pt>
                <c:pt idx="58">
                  <c:v>128.9</c:v>
                </c:pt>
                <c:pt idx="59">
                  <c:v>125.29</c:v>
                </c:pt>
                <c:pt idx="60">
                  <c:v>109.3</c:v>
                </c:pt>
                <c:pt idx="61">
                  <c:v>116.35</c:v>
                </c:pt>
                <c:pt idx="62">
                  <c:v>102.67</c:v>
                </c:pt>
              </c:numCache>
            </c:numRef>
          </c:val>
          <c:smooth val="0"/>
          <c:extLst>
            <c:ext xmlns:c16="http://schemas.microsoft.com/office/drawing/2014/chart" uri="{C3380CC4-5D6E-409C-BE32-E72D297353CC}">
              <c16:uniqueId val="{00000010-C3C0-4666-8A4C-B8E0286979CD}"/>
            </c:ext>
          </c:extLst>
        </c:ser>
        <c:ser>
          <c:idx val="3"/>
          <c:order val="3"/>
          <c:tx>
            <c:strRef>
              <c:f>'WACC PivotTable'!$E$3</c:f>
              <c:strCache>
                <c:ptCount val="1"/>
                <c:pt idx="0">
                  <c:v>Average of BSX</c:v>
                </c:pt>
              </c:strCache>
            </c:strRef>
          </c:tx>
          <c:spPr>
            <a:ln w="28575" cap="rnd">
              <a:solidFill>
                <a:schemeClr val="accent4"/>
              </a:solidFill>
              <a:round/>
            </a:ln>
            <a:effectLst/>
          </c:spPr>
          <c:marker>
            <c:symbol val="none"/>
          </c:marker>
          <c:cat>
            <c:strRef>
              <c:f>'WACC PivotTable'!$A$4:$A$66</c:f>
              <c:strCache>
                <c:ptCount val="63"/>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6/1/2023</c:v>
                </c:pt>
                <c:pt idx="30">
                  <c:v>7/1/2023</c:v>
                </c:pt>
                <c:pt idx="31">
                  <c:v>8/1/2023</c:v>
                </c:pt>
                <c:pt idx="32">
                  <c:v>9/1/2023</c:v>
                </c:pt>
                <c:pt idx="33">
                  <c:v>10/1/2023</c:v>
                </c:pt>
                <c:pt idx="34">
                  <c:v>11/1/2023</c:v>
                </c:pt>
                <c:pt idx="35">
                  <c:v>12/1/2023</c:v>
                </c:pt>
                <c:pt idx="36">
                  <c:v>1/1/2024</c:v>
                </c:pt>
                <c:pt idx="37">
                  <c:v>2/1/2024</c:v>
                </c:pt>
                <c:pt idx="38">
                  <c:v>3/1/2024</c:v>
                </c:pt>
                <c:pt idx="39">
                  <c:v>4/1/2024</c:v>
                </c:pt>
                <c:pt idx="40">
                  <c:v>5/1/2024</c:v>
                </c:pt>
                <c:pt idx="41">
                  <c:v>6/1/2024</c:v>
                </c:pt>
                <c:pt idx="42">
                  <c:v>7/1/2024</c:v>
                </c:pt>
                <c:pt idx="43">
                  <c:v>8/1/2024</c:v>
                </c:pt>
                <c:pt idx="44">
                  <c:v>9/1/2024</c:v>
                </c:pt>
                <c:pt idx="45">
                  <c:v>10/1/2024</c:v>
                </c:pt>
                <c:pt idx="46">
                  <c:v>11/1/2024</c:v>
                </c:pt>
                <c:pt idx="47">
                  <c:v>12/1/2024</c:v>
                </c:pt>
                <c:pt idx="48">
                  <c:v>1/1/2025</c:v>
                </c:pt>
                <c:pt idx="49">
                  <c:v>2/1/2025</c:v>
                </c:pt>
                <c:pt idx="50">
                  <c:v>3/1/2025</c:v>
                </c:pt>
                <c:pt idx="51">
                  <c:v>4/1/2025</c:v>
                </c:pt>
                <c:pt idx="52">
                  <c:v>5/1/2025</c:v>
                </c:pt>
                <c:pt idx="53">
                  <c:v>6/1/2025</c:v>
                </c:pt>
                <c:pt idx="54">
                  <c:v>7/1/2025</c:v>
                </c:pt>
                <c:pt idx="55">
                  <c:v>8/1/2025</c:v>
                </c:pt>
                <c:pt idx="56">
                  <c:v>9/1/2025</c:v>
                </c:pt>
                <c:pt idx="57">
                  <c:v>10/1/2025</c:v>
                </c:pt>
                <c:pt idx="58">
                  <c:v>11/1/2025</c:v>
                </c:pt>
                <c:pt idx="59">
                  <c:v>12/1/2025</c:v>
                </c:pt>
                <c:pt idx="60">
                  <c:v>1/1/2026</c:v>
                </c:pt>
                <c:pt idx="61">
                  <c:v>2/1/2026</c:v>
                </c:pt>
                <c:pt idx="62">
                  <c:v>3/1/2026</c:v>
                </c:pt>
              </c:strCache>
            </c:strRef>
          </c:cat>
          <c:val>
            <c:numRef>
              <c:f>'WACC PivotTable'!$E$4:$E$66</c:f>
              <c:numCache>
                <c:formatCode>_("$"* #,##0.00_);_("$"* \(#,##0.00\);_("$"* "-"??_);_(@_)</c:formatCode>
                <c:ptCount val="63"/>
                <c:pt idx="0">
                  <c:v>35.44</c:v>
                </c:pt>
                <c:pt idx="1">
                  <c:v>38.78</c:v>
                </c:pt>
                <c:pt idx="2">
                  <c:v>38.65</c:v>
                </c:pt>
                <c:pt idx="3">
                  <c:v>43.6</c:v>
                </c:pt>
                <c:pt idx="4">
                  <c:v>42.55</c:v>
                </c:pt>
                <c:pt idx="5">
                  <c:v>42.76</c:v>
                </c:pt>
                <c:pt idx="6">
                  <c:v>45.6</c:v>
                </c:pt>
                <c:pt idx="7">
                  <c:v>45.15</c:v>
                </c:pt>
                <c:pt idx="8">
                  <c:v>43.39</c:v>
                </c:pt>
                <c:pt idx="9">
                  <c:v>43.13</c:v>
                </c:pt>
                <c:pt idx="10">
                  <c:v>38.07</c:v>
                </c:pt>
                <c:pt idx="11">
                  <c:v>42.48</c:v>
                </c:pt>
                <c:pt idx="12">
                  <c:v>42.9</c:v>
                </c:pt>
                <c:pt idx="13">
                  <c:v>44.17</c:v>
                </c:pt>
                <c:pt idx="14">
                  <c:v>44.29</c:v>
                </c:pt>
                <c:pt idx="15">
                  <c:v>42.11</c:v>
                </c:pt>
                <c:pt idx="16">
                  <c:v>41.01</c:v>
                </c:pt>
                <c:pt idx="17">
                  <c:v>37.270000000000003</c:v>
                </c:pt>
                <c:pt idx="18">
                  <c:v>41.05</c:v>
                </c:pt>
                <c:pt idx="19">
                  <c:v>40.31</c:v>
                </c:pt>
                <c:pt idx="20">
                  <c:v>38.729999999999997</c:v>
                </c:pt>
                <c:pt idx="21">
                  <c:v>43.11</c:v>
                </c:pt>
                <c:pt idx="22">
                  <c:v>45.27</c:v>
                </c:pt>
                <c:pt idx="23">
                  <c:v>46.27</c:v>
                </c:pt>
                <c:pt idx="24">
                  <c:v>46.25</c:v>
                </c:pt>
                <c:pt idx="25">
                  <c:v>46.72</c:v>
                </c:pt>
                <c:pt idx="26">
                  <c:v>50.03</c:v>
                </c:pt>
                <c:pt idx="27">
                  <c:v>52.12</c:v>
                </c:pt>
                <c:pt idx="28">
                  <c:v>51.48</c:v>
                </c:pt>
                <c:pt idx="29">
                  <c:v>54.09</c:v>
                </c:pt>
                <c:pt idx="30">
                  <c:v>51.85</c:v>
                </c:pt>
                <c:pt idx="31">
                  <c:v>53.94</c:v>
                </c:pt>
                <c:pt idx="32">
                  <c:v>52.8</c:v>
                </c:pt>
                <c:pt idx="33">
                  <c:v>51.19</c:v>
                </c:pt>
                <c:pt idx="34">
                  <c:v>55.89</c:v>
                </c:pt>
                <c:pt idx="35">
                  <c:v>57.81</c:v>
                </c:pt>
                <c:pt idx="36">
                  <c:v>63.26</c:v>
                </c:pt>
                <c:pt idx="37">
                  <c:v>66.209999999999994</c:v>
                </c:pt>
                <c:pt idx="38">
                  <c:v>68.489999999999995</c:v>
                </c:pt>
                <c:pt idx="39">
                  <c:v>71.87</c:v>
                </c:pt>
                <c:pt idx="40">
                  <c:v>75.569999999999993</c:v>
                </c:pt>
                <c:pt idx="41">
                  <c:v>77.010000000000005</c:v>
                </c:pt>
                <c:pt idx="42">
                  <c:v>73.88</c:v>
                </c:pt>
                <c:pt idx="43">
                  <c:v>81.790000000000006</c:v>
                </c:pt>
                <c:pt idx="44">
                  <c:v>83.8</c:v>
                </c:pt>
                <c:pt idx="45">
                  <c:v>84.02</c:v>
                </c:pt>
                <c:pt idx="46">
                  <c:v>90.66</c:v>
                </c:pt>
                <c:pt idx="47">
                  <c:v>89.32</c:v>
                </c:pt>
                <c:pt idx="48">
                  <c:v>102.36</c:v>
                </c:pt>
                <c:pt idx="49">
                  <c:v>103.79</c:v>
                </c:pt>
                <c:pt idx="50">
                  <c:v>100.88</c:v>
                </c:pt>
                <c:pt idx="51">
                  <c:v>102.87</c:v>
                </c:pt>
                <c:pt idx="52">
                  <c:v>105.26</c:v>
                </c:pt>
                <c:pt idx="53">
                  <c:v>107.41</c:v>
                </c:pt>
                <c:pt idx="54">
                  <c:v>104.92</c:v>
                </c:pt>
                <c:pt idx="55">
                  <c:v>105.5</c:v>
                </c:pt>
                <c:pt idx="56">
                  <c:v>97.63</c:v>
                </c:pt>
                <c:pt idx="57">
                  <c:v>100.72</c:v>
                </c:pt>
                <c:pt idx="58">
                  <c:v>101.58</c:v>
                </c:pt>
                <c:pt idx="59">
                  <c:v>95.35</c:v>
                </c:pt>
                <c:pt idx="60">
                  <c:v>93.53</c:v>
                </c:pt>
                <c:pt idx="61">
                  <c:v>76.849999999999994</c:v>
                </c:pt>
                <c:pt idx="62">
                  <c:v>62.75</c:v>
                </c:pt>
              </c:numCache>
            </c:numRef>
          </c:val>
          <c:smooth val="0"/>
          <c:extLst>
            <c:ext xmlns:c16="http://schemas.microsoft.com/office/drawing/2014/chart" uri="{C3380CC4-5D6E-409C-BE32-E72D297353CC}">
              <c16:uniqueId val="{00000011-C3C0-4666-8A4C-B8E0286979CD}"/>
            </c:ext>
          </c:extLst>
        </c:ser>
        <c:ser>
          <c:idx val="4"/>
          <c:order val="4"/>
          <c:tx>
            <c:strRef>
              <c:f>'WACC PivotTable'!$F$3</c:f>
              <c:strCache>
                <c:ptCount val="1"/>
                <c:pt idx="0">
                  <c:v>Average of EW</c:v>
                </c:pt>
              </c:strCache>
            </c:strRef>
          </c:tx>
          <c:spPr>
            <a:ln w="28575" cap="rnd">
              <a:solidFill>
                <a:schemeClr val="accent5"/>
              </a:solidFill>
              <a:round/>
            </a:ln>
            <a:effectLst/>
          </c:spPr>
          <c:marker>
            <c:symbol val="none"/>
          </c:marker>
          <c:cat>
            <c:strRef>
              <c:f>'WACC PivotTable'!$A$4:$A$66</c:f>
              <c:strCache>
                <c:ptCount val="63"/>
                <c:pt idx="0">
                  <c:v>1/1/2021</c:v>
                </c:pt>
                <c:pt idx="1">
                  <c:v>2/1/2021</c:v>
                </c:pt>
                <c:pt idx="2">
                  <c:v>3/1/2021</c:v>
                </c:pt>
                <c:pt idx="3">
                  <c:v>4/1/2021</c:v>
                </c:pt>
                <c:pt idx="4">
                  <c:v>5/1/2021</c:v>
                </c:pt>
                <c:pt idx="5">
                  <c:v>6/1/2021</c:v>
                </c:pt>
                <c:pt idx="6">
                  <c:v>7/1/2021</c:v>
                </c:pt>
                <c:pt idx="7">
                  <c:v>8/1/2021</c:v>
                </c:pt>
                <c:pt idx="8">
                  <c:v>9/1/2021</c:v>
                </c:pt>
                <c:pt idx="9">
                  <c:v>10/1/2021</c:v>
                </c:pt>
                <c:pt idx="10">
                  <c:v>11/1/2021</c:v>
                </c:pt>
                <c:pt idx="11">
                  <c:v>12/1/2021</c:v>
                </c:pt>
                <c:pt idx="12">
                  <c:v>1/1/2022</c:v>
                </c:pt>
                <c:pt idx="13">
                  <c:v>2/1/2022</c:v>
                </c:pt>
                <c:pt idx="14">
                  <c:v>3/1/2022</c:v>
                </c:pt>
                <c:pt idx="15">
                  <c:v>4/1/2022</c:v>
                </c:pt>
                <c:pt idx="16">
                  <c:v>5/1/2022</c:v>
                </c:pt>
                <c:pt idx="17">
                  <c:v>6/1/2022</c:v>
                </c:pt>
                <c:pt idx="18">
                  <c:v>7/1/2022</c:v>
                </c:pt>
                <c:pt idx="19">
                  <c:v>8/1/2022</c:v>
                </c:pt>
                <c:pt idx="20">
                  <c:v>9/1/2022</c:v>
                </c:pt>
                <c:pt idx="21">
                  <c:v>10/1/2022</c:v>
                </c:pt>
                <c:pt idx="22">
                  <c:v>11/1/2022</c:v>
                </c:pt>
                <c:pt idx="23">
                  <c:v>12/1/2022</c:v>
                </c:pt>
                <c:pt idx="24">
                  <c:v>1/1/2023</c:v>
                </c:pt>
                <c:pt idx="25">
                  <c:v>2/1/2023</c:v>
                </c:pt>
                <c:pt idx="26">
                  <c:v>3/1/2023</c:v>
                </c:pt>
                <c:pt idx="27">
                  <c:v>4/1/2023</c:v>
                </c:pt>
                <c:pt idx="28">
                  <c:v>5/1/2023</c:v>
                </c:pt>
                <c:pt idx="29">
                  <c:v>6/1/2023</c:v>
                </c:pt>
                <c:pt idx="30">
                  <c:v>7/1/2023</c:v>
                </c:pt>
                <c:pt idx="31">
                  <c:v>8/1/2023</c:v>
                </c:pt>
                <c:pt idx="32">
                  <c:v>9/1/2023</c:v>
                </c:pt>
                <c:pt idx="33">
                  <c:v>10/1/2023</c:v>
                </c:pt>
                <c:pt idx="34">
                  <c:v>11/1/2023</c:v>
                </c:pt>
                <c:pt idx="35">
                  <c:v>12/1/2023</c:v>
                </c:pt>
                <c:pt idx="36">
                  <c:v>1/1/2024</c:v>
                </c:pt>
                <c:pt idx="37">
                  <c:v>2/1/2024</c:v>
                </c:pt>
                <c:pt idx="38">
                  <c:v>3/1/2024</c:v>
                </c:pt>
                <c:pt idx="39">
                  <c:v>4/1/2024</c:v>
                </c:pt>
                <c:pt idx="40">
                  <c:v>5/1/2024</c:v>
                </c:pt>
                <c:pt idx="41">
                  <c:v>6/1/2024</c:v>
                </c:pt>
                <c:pt idx="42">
                  <c:v>7/1/2024</c:v>
                </c:pt>
                <c:pt idx="43">
                  <c:v>8/1/2024</c:v>
                </c:pt>
                <c:pt idx="44">
                  <c:v>9/1/2024</c:v>
                </c:pt>
                <c:pt idx="45">
                  <c:v>10/1/2024</c:v>
                </c:pt>
                <c:pt idx="46">
                  <c:v>11/1/2024</c:v>
                </c:pt>
                <c:pt idx="47">
                  <c:v>12/1/2024</c:v>
                </c:pt>
                <c:pt idx="48">
                  <c:v>1/1/2025</c:v>
                </c:pt>
                <c:pt idx="49">
                  <c:v>2/1/2025</c:v>
                </c:pt>
                <c:pt idx="50">
                  <c:v>3/1/2025</c:v>
                </c:pt>
                <c:pt idx="51">
                  <c:v>4/1/2025</c:v>
                </c:pt>
                <c:pt idx="52">
                  <c:v>5/1/2025</c:v>
                </c:pt>
                <c:pt idx="53">
                  <c:v>6/1/2025</c:v>
                </c:pt>
                <c:pt idx="54">
                  <c:v>7/1/2025</c:v>
                </c:pt>
                <c:pt idx="55">
                  <c:v>8/1/2025</c:v>
                </c:pt>
                <c:pt idx="56">
                  <c:v>9/1/2025</c:v>
                </c:pt>
                <c:pt idx="57">
                  <c:v>10/1/2025</c:v>
                </c:pt>
                <c:pt idx="58">
                  <c:v>11/1/2025</c:v>
                </c:pt>
                <c:pt idx="59">
                  <c:v>12/1/2025</c:v>
                </c:pt>
                <c:pt idx="60">
                  <c:v>1/1/2026</c:v>
                </c:pt>
                <c:pt idx="61">
                  <c:v>2/1/2026</c:v>
                </c:pt>
                <c:pt idx="62">
                  <c:v>3/1/2026</c:v>
                </c:pt>
              </c:strCache>
            </c:strRef>
          </c:cat>
          <c:val>
            <c:numRef>
              <c:f>'WACC PivotTable'!$F$4:$F$66</c:f>
              <c:numCache>
                <c:formatCode>_("$"* #,##0.00_);_("$"* \(#,##0.00\);_("$"* "-"??_);_(@_)</c:formatCode>
                <c:ptCount val="63"/>
                <c:pt idx="0">
                  <c:v>82.58</c:v>
                </c:pt>
                <c:pt idx="1">
                  <c:v>83.1</c:v>
                </c:pt>
                <c:pt idx="2">
                  <c:v>83.64</c:v>
                </c:pt>
                <c:pt idx="3">
                  <c:v>95.52</c:v>
                </c:pt>
                <c:pt idx="4">
                  <c:v>95.9</c:v>
                </c:pt>
                <c:pt idx="5">
                  <c:v>103.57</c:v>
                </c:pt>
                <c:pt idx="6">
                  <c:v>112.27</c:v>
                </c:pt>
                <c:pt idx="7">
                  <c:v>117.18</c:v>
                </c:pt>
                <c:pt idx="8">
                  <c:v>113.21</c:v>
                </c:pt>
                <c:pt idx="9">
                  <c:v>119.82</c:v>
                </c:pt>
                <c:pt idx="10">
                  <c:v>107.31</c:v>
                </c:pt>
                <c:pt idx="11">
                  <c:v>129.55000000000001</c:v>
                </c:pt>
                <c:pt idx="12">
                  <c:v>109.2</c:v>
                </c:pt>
                <c:pt idx="13">
                  <c:v>112.37</c:v>
                </c:pt>
                <c:pt idx="14">
                  <c:v>117.72</c:v>
                </c:pt>
                <c:pt idx="15">
                  <c:v>105.78</c:v>
                </c:pt>
                <c:pt idx="16">
                  <c:v>100.85</c:v>
                </c:pt>
                <c:pt idx="17">
                  <c:v>95.09</c:v>
                </c:pt>
                <c:pt idx="18">
                  <c:v>100.54</c:v>
                </c:pt>
                <c:pt idx="19">
                  <c:v>90.1</c:v>
                </c:pt>
                <c:pt idx="20">
                  <c:v>82.63</c:v>
                </c:pt>
                <c:pt idx="21">
                  <c:v>72.430000000000007</c:v>
                </c:pt>
                <c:pt idx="22">
                  <c:v>77.25</c:v>
                </c:pt>
                <c:pt idx="23">
                  <c:v>74.61</c:v>
                </c:pt>
                <c:pt idx="24">
                  <c:v>76.7</c:v>
                </c:pt>
                <c:pt idx="25">
                  <c:v>80.44</c:v>
                </c:pt>
                <c:pt idx="26">
                  <c:v>82.73</c:v>
                </c:pt>
                <c:pt idx="27">
                  <c:v>87.98</c:v>
                </c:pt>
                <c:pt idx="28">
                  <c:v>84.23</c:v>
                </c:pt>
                <c:pt idx="29">
                  <c:v>94.33</c:v>
                </c:pt>
                <c:pt idx="30">
                  <c:v>82.07</c:v>
                </c:pt>
                <c:pt idx="31">
                  <c:v>76.47</c:v>
                </c:pt>
                <c:pt idx="32">
                  <c:v>69.28</c:v>
                </c:pt>
                <c:pt idx="33">
                  <c:v>63.72</c:v>
                </c:pt>
                <c:pt idx="34">
                  <c:v>67.709999999999994</c:v>
                </c:pt>
                <c:pt idx="35">
                  <c:v>76.25</c:v>
                </c:pt>
                <c:pt idx="36">
                  <c:v>78.47</c:v>
                </c:pt>
                <c:pt idx="37">
                  <c:v>84.87</c:v>
                </c:pt>
                <c:pt idx="38">
                  <c:v>95.56</c:v>
                </c:pt>
                <c:pt idx="39">
                  <c:v>84.67</c:v>
                </c:pt>
                <c:pt idx="40">
                  <c:v>86.89</c:v>
                </c:pt>
                <c:pt idx="41">
                  <c:v>92.37</c:v>
                </c:pt>
                <c:pt idx="42">
                  <c:v>63.05</c:v>
                </c:pt>
                <c:pt idx="43">
                  <c:v>69.959999999999994</c:v>
                </c:pt>
                <c:pt idx="44">
                  <c:v>65.989999999999995</c:v>
                </c:pt>
                <c:pt idx="45">
                  <c:v>67.010000000000005</c:v>
                </c:pt>
                <c:pt idx="46">
                  <c:v>71.349999999999994</c:v>
                </c:pt>
                <c:pt idx="47">
                  <c:v>74.03</c:v>
                </c:pt>
                <c:pt idx="48">
                  <c:v>72.45</c:v>
                </c:pt>
                <c:pt idx="49">
                  <c:v>71.62</c:v>
                </c:pt>
                <c:pt idx="50">
                  <c:v>72.48</c:v>
                </c:pt>
                <c:pt idx="51">
                  <c:v>75.489999999999995</c:v>
                </c:pt>
                <c:pt idx="52">
                  <c:v>78.22</c:v>
                </c:pt>
                <c:pt idx="53">
                  <c:v>78.209999999999994</c:v>
                </c:pt>
                <c:pt idx="54">
                  <c:v>79.31</c:v>
                </c:pt>
                <c:pt idx="55">
                  <c:v>81.34</c:v>
                </c:pt>
                <c:pt idx="56">
                  <c:v>77.77</c:v>
                </c:pt>
                <c:pt idx="57">
                  <c:v>82.45</c:v>
                </c:pt>
                <c:pt idx="58">
                  <c:v>86.67</c:v>
                </c:pt>
                <c:pt idx="59">
                  <c:v>85.25</c:v>
                </c:pt>
                <c:pt idx="60">
                  <c:v>81.36</c:v>
                </c:pt>
                <c:pt idx="61">
                  <c:v>86.47</c:v>
                </c:pt>
                <c:pt idx="62">
                  <c:v>80.08</c:v>
                </c:pt>
              </c:numCache>
            </c:numRef>
          </c:val>
          <c:smooth val="0"/>
          <c:extLst>
            <c:ext xmlns:c16="http://schemas.microsoft.com/office/drawing/2014/chart" uri="{C3380CC4-5D6E-409C-BE32-E72D297353CC}">
              <c16:uniqueId val="{00000012-C3C0-4666-8A4C-B8E0286979CD}"/>
            </c:ext>
          </c:extLst>
        </c:ser>
        <c:dLbls>
          <c:showLegendKey val="0"/>
          <c:showVal val="0"/>
          <c:showCatName val="0"/>
          <c:showSerName val="0"/>
          <c:showPercent val="0"/>
          <c:showBubbleSize val="0"/>
        </c:dLbls>
        <c:smooth val="0"/>
        <c:axId val="1570529104"/>
        <c:axId val="1570530064"/>
      </c:lineChart>
      <c:catAx>
        <c:axId val="15705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30064"/>
        <c:crosses val="autoZero"/>
        <c:auto val="1"/>
        <c:lblAlgn val="ctr"/>
        <c:lblOffset val="100"/>
        <c:tickMarkSkip val="1"/>
        <c:noMultiLvlLbl val="0"/>
      </c:catAx>
      <c:valAx>
        <c:axId val="15705300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2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SYK Returns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SYK Returns</a:t>
          </a:r>
        </a:p>
      </cx:txPr>
    </cx:title>
    <cx:plotArea>
      <cx:plotAreaRegion>
        <cx:series layoutId="clusteredColumn" uniqueId="{D0866358-AD69-4F45-A6AE-4C4575F84696}">
          <cx:tx>
            <cx:txData>
              <cx:f>_xlchart.v1.2</cx:f>
              <cx:v>SYK Returns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S&amp;P 500 Returns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S&amp;P 500 Returns</a:t>
          </a:r>
        </a:p>
      </cx:txPr>
    </cx:title>
    <cx:plotArea>
      <cx:plotAreaRegion>
        <cx:series layoutId="clusteredColumn" uniqueId="{C3B8A5FF-F390-4D46-9669-F38E1D1C979B}">
          <cx:tx>
            <cx:txData>
              <cx:f>_xlchart.v1.0</cx:f>
              <cx:v>S&amp;P Returns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Radio" checked="Checked" firstButton="1" fmlaLink="$J$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595312</xdr:colOff>
      <xdr:row>2</xdr:row>
      <xdr:rowOff>4763</xdr:rowOff>
    </xdr:from>
    <xdr:to>
      <xdr:col>16</xdr:col>
      <xdr:colOff>109537</xdr:colOff>
      <xdr:row>15</xdr:row>
      <xdr:rowOff>180975</xdr:rowOff>
    </xdr:to>
    <xdr:graphicFrame macro="">
      <xdr:nvGraphicFramePr>
        <xdr:cNvPr id="2" name="Chart 1">
          <a:extLst>
            <a:ext uri="{FF2B5EF4-FFF2-40B4-BE49-F238E27FC236}">
              <a16:creationId xmlns:a16="http://schemas.microsoft.com/office/drawing/2014/main" id="{B7DC80E9-3045-912E-8673-CF452B46B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xdr:colOff>
      <xdr:row>16</xdr:row>
      <xdr:rowOff>4762</xdr:rowOff>
    </xdr:from>
    <xdr:to>
      <xdr:col>15</xdr:col>
      <xdr:colOff>347662</xdr:colOff>
      <xdr:row>30</xdr:row>
      <xdr:rowOff>80962</xdr:rowOff>
    </xdr:to>
    <xdr:graphicFrame macro="">
      <xdr:nvGraphicFramePr>
        <xdr:cNvPr id="6" name="Chart 5">
          <a:extLst>
            <a:ext uri="{FF2B5EF4-FFF2-40B4-BE49-F238E27FC236}">
              <a16:creationId xmlns:a16="http://schemas.microsoft.com/office/drawing/2014/main" id="{7DD2440E-5FEE-17C5-EEBE-DD4011D54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1</xdr:row>
      <xdr:rowOff>180975</xdr:rowOff>
    </xdr:from>
    <xdr:to>
      <xdr:col>4</xdr:col>
      <xdr:colOff>257175</xdr:colOff>
      <xdr:row>10</xdr:row>
      <xdr:rowOff>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86FB39A-9331-C226-EFFB-117679FC12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67200" y="371475"/>
              <a:ext cx="147637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xdr:colOff>
      <xdr:row>0</xdr:row>
      <xdr:rowOff>90487</xdr:rowOff>
    </xdr:from>
    <xdr:to>
      <xdr:col>13</xdr:col>
      <xdr:colOff>371475</xdr:colOff>
      <xdr:row>14</xdr:row>
      <xdr:rowOff>166687</xdr:rowOff>
    </xdr:to>
    <xdr:graphicFrame macro="">
      <xdr:nvGraphicFramePr>
        <xdr:cNvPr id="7" name="Chart 6">
          <a:extLst>
            <a:ext uri="{FF2B5EF4-FFF2-40B4-BE49-F238E27FC236}">
              <a16:creationId xmlns:a16="http://schemas.microsoft.com/office/drawing/2014/main" id="{37085CC0-AA27-3E02-B195-4D1917186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14</xdr:row>
      <xdr:rowOff>176212</xdr:rowOff>
    </xdr:from>
    <xdr:to>
      <xdr:col>16</xdr:col>
      <xdr:colOff>238125</xdr:colOff>
      <xdr:row>29</xdr:row>
      <xdr:rowOff>38100</xdr:rowOff>
    </xdr:to>
    <xdr:graphicFrame macro="">
      <xdr:nvGraphicFramePr>
        <xdr:cNvPr id="8" name="Chart 7">
          <a:extLst>
            <a:ext uri="{FF2B5EF4-FFF2-40B4-BE49-F238E27FC236}">
              <a16:creationId xmlns:a16="http://schemas.microsoft.com/office/drawing/2014/main" id="{1FAA9FFA-0AA9-DCCF-ECB9-43E6A8D56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xdr:colOff>
      <xdr:row>29</xdr:row>
      <xdr:rowOff>52387</xdr:rowOff>
    </xdr:from>
    <xdr:to>
      <xdr:col>13</xdr:col>
      <xdr:colOff>371475</xdr:colOff>
      <xdr:row>43</xdr:row>
      <xdr:rowOff>128587</xdr:rowOff>
    </xdr:to>
    <xdr:graphicFrame macro="">
      <xdr:nvGraphicFramePr>
        <xdr:cNvPr id="10" name="Chart 9">
          <a:extLst>
            <a:ext uri="{FF2B5EF4-FFF2-40B4-BE49-F238E27FC236}">
              <a16:creationId xmlns:a16="http://schemas.microsoft.com/office/drawing/2014/main" id="{88A9D128-E9D4-4D98-B4AE-07F3E667F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xdr:colOff>
      <xdr:row>1</xdr:row>
      <xdr:rowOff>109537</xdr:rowOff>
    </xdr:from>
    <xdr:to>
      <xdr:col>12</xdr:col>
      <xdr:colOff>147637</xdr:colOff>
      <xdr:row>15</xdr:row>
      <xdr:rowOff>185737</xdr:rowOff>
    </xdr:to>
    <xdr:graphicFrame macro="">
      <xdr:nvGraphicFramePr>
        <xdr:cNvPr id="5" name="Chart 4">
          <a:extLst>
            <a:ext uri="{FF2B5EF4-FFF2-40B4-BE49-F238E27FC236}">
              <a16:creationId xmlns:a16="http://schemas.microsoft.com/office/drawing/2014/main" id="{1CECE597-3BC6-D19D-479D-C32778754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2</xdr:row>
      <xdr:rowOff>57151</xdr:rowOff>
    </xdr:from>
    <xdr:to>
      <xdr:col>7</xdr:col>
      <xdr:colOff>276225</xdr:colOff>
      <xdr:row>7</xdr:row>
      <xdr:rowOff>123825</xdr:rowOff>
    </xdr:to>
    <xdr:sp macro="" textlink="">
      <xdr:nvSpPr>
        <xdr:cNvPr id="6" name="Rectangle 5">
          <a:extLst>
            <a:ext uri="{FF2B5EF4-FFF2-40B4-BE49-F238E27FC236}">
              <a16:creationId xmlns:a16="http://schemas.microsoft.com/office/drawing/2014/main" id="{C72DC2A6-CD9A-C5A0-AA24-DE0823F3E749}"/>
            </a:ext>
          </a:extLst>
        </xdr:cNvPr>
        <xdr:cNvSpPr/>
      </xdr:nvSpPr>
      <xdr:spPr>
        <a:xfrm>
          <a:off x="6048375" y="438151"/>
          <a:ext cx="942975" cy="1019174"/>
        </a:xfrm>
        <a:prstGeom prst="rect">
          <a:avLst/>
        </a:prstGeom>
        <a:solidFill>
          <a:schemeClr val="accent2">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2</xdr:row>
          <xdr:rowOff>133350</xdr:rowOff>
        </xdr:from>
        <xdr:to>
          <xdr:col>7</xdr:col>
          <xdr:colOff>381000</xdr:colOff>
          <xdr:row>3</xdr:row>
          <xdr:rowOff>152400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5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SYK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3</xdr:row>
          <xdr:rowOff>104775</xdr:rowOff>
        </xdr:from>
        <xdr:to>
          <xdr:col>7</xdr:col>
          <xdr:colOff>381000</xdr:colOff>
          <xdr:row>4</xdr:row>
          <xdr:rowOff>123825</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5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JNJ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4</xdr:row>
          <xdr:rowOff>66675</xdr:rowOff>
        </xdr:from>
        <xdr:to>
          <xdr:col>7</xdr:col>
          <xdr:colOff>381000</xdr:colOff>
          <xdr:row>5</xdr:row>
          <xdr:rowOff>85725</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5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ABT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5</xdr:row>
          <xdr:rowOff>38100</xdr:rowOff>
        </xdr:from>
        <xdr:to>
          <xdr:col>7</xdr:col>
          <xdr:colOff>381000</xdr:colOff>
          <xdr:row>6</xdr:row>
          <xdr:rowOff>57150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5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BSX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5</xdr:row>
          <xdr:rowOff>190500</xdr:rowOff>
        </xdr:from>
        <xdr:to>
          <xdr:col>7</xdr:col>
          <xdr:colOff>381000</xdr:colOff>
          <xdr:row>7</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5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EW</a:t>
              </a:r>
            </a:p>
          </xdr:txBody>
        </xdr:sp>
        <xdr:clientData/>
      </xdr:twoCellAnchor>
    </mc:Choice>
    <mc:Fallback/>
  </mc:AlternateContent>
  <xdr:twoCellAnchor>
    <xdr:from>
      <xdr:col>6</xdr:col>
      <xdr:colOff>4762</xdr:colOff>
      <xdr:row>17</xdr:row>
      <xdr:rowOff>14287</xdr:rowOff>
    </xdr:from>
    <xdr:to>
      <xdr:col>12</xdr:col>
      <xdr:colOff>147637</xdr:colOff>
      <xdr:row>31</xdr:row>
      <xdr:rowOff>90487</xdr:rowOff>
    </xdr:to>
    <xdr:graphicFrame macro="">
      <xdr:nvGraphicFramePr>
        <xdr:cNvPr id="2" name="Chart 1">
          <a:extLst>
            <a:ext uri="{FF2B5EF4-FFF2-40B4-BE49-F238E27FC236}">
              <a16:creationId xmlns:a16="http://schemas.microsoft.com/office/drawing/2014/main" id="{8F8B8177-F618-F98A-C39C-D37C795A9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742950</xdr:colOff>
      <xdr:row>23</xdr:row>
      <xdr:rowOff>180975</xdr:rowOff>
    </xdr:from>
    <xdr:ext cx="184731" cy="264560"/>
    <xdr:sp macro="" textlink="">
      <xdr:nvSpPr>
        <xdr:cNvPr id="3" name="TextBox 2">
          <a:extLst>
            <a:ext uri="{FF2B5EF4-FFF2-40B4-BE49-F238E27FC236}">
              <a16:creationId xmlns:a16="http://schemas.microsoft.com/office/drawing/2014/main" id="{B7144163-7581-15F1-7664-960540E0A5B4}"/>
            </a:ext>
          </a:extLst>
        </xdr:cNvPr>
        <xdr:cNvSpPr txBox="1"/>
      </xdr:nvSpPr>
      <xdr:spPr>
        <a:xfrm>
          <a:off x="742950" y="456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19050</xdr:colOff>
      <xdr:row>18</xdr:row>
      <xdr:rowOff>85725</xdr:rowOff>
    </xdr:from>
    <xdr:ext cx="3990975" cy="781240"/>
    <xdr:sp macro="" textlink="">
      <xdr:nvSpPr>
        <xdr:cNvPr id="4" name="TextBox 3">
          <a:extLst>
            <a:ext uri="{FF2B5EF4-FFF2-40B4-BE49-F238E27FC236}">
              <a16:creationId xmlns:a16="http://schemas.microsoft.com/office/drawing/2014/main" id="{E3223442-CB9C-F6E1-715E-4733E2FC9B3D}"/>
            </a:ext>
          </a:extLst>
        </xdr:cNvPr>
        <xdr:cNvSpPr txBox="1"/>
      </xdr:nvSpPr>
      <xdr:spPr>
        <a:xfrm>
          <a:off x="19050" y="3514725"/>
          <a:ext cx="3990975" cy="781240"/>
        </a:xfrm>
        <a:prstGeom prst="rect">
          <a:avLst/>
        </a:prstGeom>
        <a:solidFill>
          <a:schemeClr val="accent2">
            <a:lumMod val="60000"/>
            <a:lumOff val="40000"/>
          </a:schemeClr>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The Beta, Expected Market Return (and ERP), and Risk Free Rate are all manually calc'd, or pulled on the spot.I just came up with 5.5% as a conservative estimate, but it can be changed to whatever you want.</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9524</xdr:colOff>
      <xdr:row>2</xdr:row>
      <xdr:rowOff>23812</xdr:rowOff>
    </xdr:from>
    <xdr:to>
      <xdr:col>14</xdr:col>
      <xdr:colOff>57150</xdr:colOff>
      <xdr:row>25</xdr:row>
      <xdr:rowOff>142875</xdr:rowOff>
    </xdr:to>
    <xdr:graphicFrame macro="">
      <xdr:nvGraphicFramePr>
        <xdr:cNvPr id="2" name="Chart 1">
          <a:extLst>
            <a:ext uri="{FF2B5EF4-FFF2-40B4-BE49-F238E27FC236}">
              <a16:creationId xmlns:a16="http://schemas.microsoft.com/office/drawing/2014/main" id="{92B49331-CF68-2D09-FCEB-743A4DDEB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4762</xdr:colOff>
      <xdr:row>1</xdr:row>
      <xdr:rowOff>9531</xdr:rowOff>
    </xdr:from>
    <xdr:to>
      <xdr:col>20</xdr:col>
      <xdr:colOff>309562</xdr:colOff>
      <xdr:row>15</xdr:row>
      <xdr:rowOff>85731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9AE1282-B876-8261-AD2C-E442A83E1D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01187" y="200031"/>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14287</xdr:colOff>
      <xdr:row>15</xdr:row>
      <xdr:rowOff>100012</xdr:rowOff>
    </xdr:from>
    <xdr:to>
      <xdr:col>20</xdr:col>
      <xdr:colOff>319087</xdr:colOff>
      <xdr:row>29</xdr:row>
      <xdr:rowOff>176212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6DCD33D-007E-E2FA-D0E5-E321FDC860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10712" y="29575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Harris Waseem" refreshedDate="46150.770795370372" createdVersion="8" refreshedVersion="8" minRefreshableVersion="3" recordCount="63" xr:uid="{C03F08C2-F061-453E-A600-8CD319A33379}">
  <cacheSource type="worksheet">
    <worksheetSource ref="A1:M64" sheet="Beta Hand Calculations"/>
  </cacheSource>
  <cacheFields count="16">
    <cacheField name="Dates (60 Months)" numFmtId="14">
      <sharedItems containsSemiMixedTypes="0" containsNonDate="0" containsDate="1" containsString="0" minDate="2021-01-01T00:00:00" maxDate="2026-03-02T00:00:00" count="63">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fieldGroup par="15"/>
    </cacheField>
    <cacheField name="SYK" numFmtId="44">
      <sharedItems containsSemiMixedTypes="0" containsString="0" containsNumber="1" minValue="198.93" maxValue="395.63" count="63">
        <n v="221.01"/>
        <n v="242.69"/>
        <n v="243.58"/>
        <n v="262.63"/>
        <n v="255.27"/>
        <n v="259.73"/>
        <n v="270.94"/>
        <n v="277.10000000000002"/>
        <n v="263.72000000000003"/>
        <n v="266.07"/>
        <n v="236.63"/>
        <n v="267.42"/>
        <n v="248.05"/>
        <n v="263.35000000000002"/>
        <n v="267.35000000000002"/>
        <n v="241.26"/>
        <n v="234.5"/>
        <n v="198.93"/>
        <n v="214.75"/>
        <n v="205.2"/>
        <n v="202.54"/>
        <n v="229.24"/>
        <n v="233.89"/>
        <n v="244.49"/>
        <n v="253.81"/>
        <n v="262.88"/>
        <n v="285.47000000000003"/>
        <n v="299.64999999999998"/>
        <n v="275.58"/>
        <n v="305.08999999999997"/>
        <n v="283.41000000000003"/>
        <n v="283.55"/>
        <n v="273.27"/>
        <n v="270.22000000000003"/>
        <n v="296.33"/>
        <n v="299.45999999999998"/>
        <n v="335.48"/>
        <n v="349.07"/>
        <n v="357.87"/>
        <n v="336.5"/>
        <n v="341.09"/>
        <n v="340.25"/>
        <n v="327.45"/>
        <n v="360.42"/>
        <n v="361.26"/>
        <n v="356.28"/>
        <n v="392.15"/>
        <n v="360.05"/>
        <n v="391.29"/>
        <n v="386.19"/>
        <n v="372.25"/>
        <n v="373.92"/>
        <n v="382.64"/>
        <n v="395.63"/>
        <n v="392.73"/>
        <n v="391.41"/>
        <n v="369.67"/>
        <n v="356.24"/>
        <n v="371.18"/>
        <n v="351.47"/>
        <n v="369.56"/>
        <n v="387.46"/>
        <n v="328.59"/>
      </sharedItems>
    </cacheField>
    <cacheField name="SYK Returns" numFmtId="10">
      <sharedItems containsString="0" containsBlank="1" containsNumber="1" minValue="-0.15193826459505499" maxValue="0.13182581218524736" count="63">
        <n v="9.8095108818605503E-2"/>
        <n v="3.6672297993325387E-3"/>
        <n v="7.8208391493554297E-2"/>
        <n v="-2.8024216578456329E-2"/>
        <n v="1.747169663493553E-2"/>
        <n v="4.3160204828090576E-2"/>
        <n v="2.2735661031962895E-2"/>
        <n v="-4.8285817394442376E-2"/>
        <n v="8.9109661762474257E-3"/>
        <n v="-0.11064757394670577"/>
        <n v="0.13011875079237645"/>
        <n v="-7.2432877122129979E-2"/>
        <n v="6.1681112678895422E-2"/>
        <n v="1.5188912094171281E-2"/>
        <n v="-9.75874322049749E-2"/>
        <n v="-2.8019563955898219E-2"/>
        <n v="-0.15168443496801698"/>
        <n v="7.9525461217513582E-2"/>
        <n v="-4.4470314318975634E-2"/>
        <n v="-1.2962962962962954E-2"/>
        <n v="0.13182581218524736"/>
        <n v="2.0284418077124222E-2"/>
        <n v="4.5320449784086669E-2"/>
        <n v="3.8120168514049535E-2"/>
        <n v="3.5735392616524253E-2"/>
        <n v="8.5932744978697517E-2"/>
        <n v="4.9672469961817178E-2"/>
        <n v="-8.0327048222926689E-2"/>
        <n v="0.10708324261557434"/>
        <n v="-7.1060998393916441E-2"/>
        <n v="4.9398398080513495E-4"/>
        <n v="-3.6254628813260581E-2"/>
        <n v="-1.1161122699161807E-2"/>
        <n v="9.6624972244837348E-2"/>
        <n v="1.0562548510106851E-2"/>
        <n v="0.12028317638415831"/>
        <n v="4.0509121259091341E-2"/>
        <n v="2.5209843297905987E-2"/>
        <n v="-5.9714421437952359E-2"/>
        <n v="1.3640416047548287E-2"/>
        <n v="-2.4626931308451283E-3"/>
        <n v="-3.761939750183696E-2"/>
        <n v="0.10068712780577194"/>
        <n v="2.330614283336141E-3"/>
        <n v="-1.3785085533964514E-2"/>
        <n v="0.10067924104636794"/>
        <n v="-8.1856432487568465E-2"/>
        <n v="8.6765726982363622E-2"/>
        <n v="-1.3033811239745563E-2"/>
        <n v="-3.6096222066858252E-2"/>
        <n v="4.4862323707186569E-3"/>
        <n v="2.3320496362858378E-2"/>
        <n v="3.394835877064617E-2"/>
        <n v="-7.3300811364153118E-3"/>
        <n v="-3.361087770223814E-3"/>
        <n v="-5.5542781226846527E-2"/>
        <n v="-3.6329699461682075E-2"/>
        <n v="4.1938019312822705E-2"/>
        <n v="-5.310092138585043E-2"/>
        <n v="5.1469542208438801E-2"/>
        <n v="4.8435977919688122E-2"/>
        <n v="-0.15193826459505499"/>
        <m/>
      </sharedItems>
    </cacheField>
    <cacheField name="JNJ" numFmtId="44">
      <sharedItems containsSemiMixedTypes="0" containsString="0" containsNumber="1" minValue="144.59" maxValue="248.43"/>
    </cacheField>
    <cacheField name="JNJ Returns" numFmtId="10">
      <sharedItems containsString="0" containsBlank="1" containsNumber="1" minValue="-8.597256463746128E-2" maxValue="9.8091326407344859E-2"/>
    </cacheField>
    <cacheField name="ABT" numFmtId="44">
      <sharedItems containsSemiMixedTypes="0" containsString="0" containsNumber="1" minValue="94.55" maxValue="140.74"/>
    </cacheField>
    <cacheField name="ABT Returns" numFmtId="10">
      <sharedItems containsString="0" containsBlank="1" containsNumber="1" minValue="-0.1276239125229468" maxValue="0.13102289806383172"/>
    </cacheField>
    <cacheField name="BSX" numFmtId="44">
      <sharedItems containsSemiMixedTypes="0" containsString="0" containsNumber="1" minValue="35.44" maxValue="107.41"/>
    </cacheField>
    <cacheField name="BSX Returns" numFmtId="10">
      <sharedItems containsString="0" containsBlank="1" containsNumber="1" minValue="-0.18347430058555625" maxValue="0.14599193909538744"/>
    </cacheField>
    <cacheField name="EW" numFmtId="44">
      <sharedItems containsSemiMixedTypes="0" containsString="0" containsNumber="1" minValue="63.05" maxValue="129.55000000000001"/>
    </cacheField>
    <cacheField name="EW Returns" numFmtId="10">
      <sharedItems containsString="0" containsBlank="1" containsNumber="1" minValue="-0.31741907545739967" maxValue="0.20725002329699005"/>
    </cacheField>
    <cacheField name="S&amp;P 500" numFmtId="0">
      <sharedItems containsSemiMixedTypes="0" containsString="0" containsNumber="1" minValue="3585.62" maxValue="6939.03"/>
    </cacheField>
    <cacheField name="S&amp;P Returns" numFmtId="10">
      <sharedItems containsString="0" containsBlank="1" containsNumber="1" minValue="-9.3395701643489315E-2" maxValue="9.1116347632205885E-2"/>
    </cacheField>
    <cacheField name="Months (Dates (60 Months))" numFmtId="0" databaseField="0">
      <fieldGroup base="0">
        <rangePr groupBy="months" startDate="2021-01-01T00:00:00" endDate="2026-03-02T00:00:00"/>
        <groupItems count="14">
          <s v="&lt;1/1/2021"/>
          <s v="Jan"/>
          <s v="Feb"/>
          <s v="Mar"/>
          <s v="Apr"/>
          <s v="May"/>
          <s v="Jun"/>
          <s v="Jul"/>
          <s v="Aug"/>
          <s v="Sep"/>
          <s v="Oct"/>
          <s v="Nov"/>
          <s v="Dec"/>
          <s v="&gt;3/2/2026"/>
        </groupItems>
      </fieldGroup>
    </cacheField>
    <cacheField name="Quarters (Dates (60 Months))" numFmtId="0" databaseField="0">
      <fieldGroup base="0">
        <rangePr groupBy="quarters" startDate="2021-01-01T00:00:00" endDate="2026-03-02T00:00:00"/>
        <groupItems count="6">
          <s v="&lt;1/1/2021"/>
          <s v="Qtr1"/>
          <s v="Qtr2"/>
          <s v="Qtr3"/>
          <s v="Qtr4"/>
          <s v="&gt;3/2/2026"/>
        </groupItems>
      </fieldGroup>
    </cacheField>
    <cacheField name="Years (Dates (60 Months))" numFmtId="0" databaseField="0">
      <fieldGroup base="0">
        <rangePr groupBy="years" startDate="2021-01-01T00:00:00" endDate="2026-03-02T00:00:00"/>
        <groupItems count="8">
          <s v="&lt;1/1/2021"/>
          <s v="2021"/>
          <s v="2022"/>
          <s v="2023"/>
          <s v="2024"/>
          <s v="2025"/>
          <s v="2026"/>
          <s v="&gt;3/2/2026"/>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C03F08C2-F061-453E-A600-8CD319A33379}" pivotIgnoreInvalidCache="1" r:id="r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is Waseem" refreshedDate="46155.952785648151" createdVersion="8" refreshedVersion="8" minRefreshableVersion="3" recordCount="13" xr:uid="{5A4C9176-7E46-4386-952F-CF60BB0A0910}">
  <cacheSource type="worksheet">
    <worksheetSource ref="A13:R26" sheet="Master Data"/>
  </cacheSource>
  <cacheFields count="19">
    <cacheField name="Year" numFmtId="0">
      <sharedItems count="13">
        <s v="FY 2019"/>
        <s v="FY 2020"/>
        <s v="FY 2021"/>
        <s v="FY 2022"/>
        <s v="FY 2023"/>
        <s v="FY 2024"/>
        <s v="FY 2025"/>
        <s v="FY 2026"/>
        <s v="FY 2027"/>
        <s v="FY 2028"/>
        <s v="FY 2029"/>
        <s v="FY 2030"/>
        <s v="FY 2031"/>
      </sharedItems>
    </cacheField>
    <cacheField name="Revenue Adj ($M)" numFmtId="44">
      <sharedItems containsSemiMixedTypes="0" containsString="0" containsNumber="1" minValue="14351" maxValue="36310.824682555292"/>
    </cacheField>
    <cacheField name="YoY Growth %" numFmtId="10">
      <sharedItems containsSemiMixedTypes="0" containsString="0" containsNumber="1" minValue="-3.5810000000000002E-2" maxValue="0.192112"/>
    </cacheField>
    <cacheField name="Gross Margin %" numFmtId="0">
      <sharedItems containsString="0" containsBlank="1" containsNumber="1" minValue="0.63100000000000001" maxValue="0.65900000000000003"/>
    </cacheField>
    <cacheField name="EBITDA Adj ($M)" numFmtId="44">
      <sharedItems containsSemiMixedTypes="0" containsString="0" containsNumber="1" minValue="3969" maxValue="10460.417093193069"/>
    </cacheField>
    <cacheField name="EBITDA Margin %" numFmtId="10">
      <sharedItems containsSemiMixedTypes="0" containsString="0" containsNumber="1" minValue="0.265813865250149" maxValue="0.29259607632356899"/>
    </cacheField>
    <cacheField name="EBIT ($M)" numFmtId="44">
      <sharedItems containsSemiMixedTypes="0" containsString="0" containsNumber="1" minValue="3027" maxValue="8826.429982478081"/>
    </cacheField>
    <cacheField name="NOPAT ($M)" numFmtId="44">
      <sharedItems containsString="0" containsBlank="1" containsNumber="1" minValue="5361.6459600165726" maxValue="7458.3333351939782"/>
    </cacheField>
    <cacheField name="Net Income Adj ($M)" numFmtId="44">
      <sharedItems containsString="0" containsBlank="1" containsNumber="1" containsInteger="1" minValue="2446" maxValue="4686"/>
    </cacheField>
    <cacheField name="Adj EPS" numFmtId="0">
      <sharedItems containsString="0" containsBlank="1" containsNumber="1" minValue="6.4272" maxValue="12.1257"/>
    </cacheField>
    <cacheField name="FCF ($M)" numFmtId="44">
      <sharedItems containsSemiMixedTypes="0" containsString="0" containsNumber="1" minValue="1542" maxValue="8144.6284653940547"/>
    </cacheField>
    <cacheField name="EV ($M)" numFmtId="0">
      <sharedItems containsString="0" containsBlank="1" containsNumber="1" minValue="85690.305900000007" maxValue="146950.07"/>
    </cacheField>
    <cacheField name="Net Debt ($M)" numFmtId="44">
      <sharedItems containsString="0" containsBlank="1" containsNumber="1" minValue="5874.5714285714303" maxValue="11759"/>
    </cacheField>
    <cacheField name="Equity ($M)" numFmtId="0">
      <sharedItems containsString="0" containsBlank="1" containsNumber="1" minValue="78638.305900000007" maxValue="137323.07"/>
    </cacheField>
    <cacheField name="CapEx %" numFmtId="10">
      <sharedItems containsSemiMixedTypes="0" containsString="0" containsNumber="1" minValue="2.4202131414695849E-2" maxValue="4.3603869927438851E-2"/>
    </cacheField>
    <cacheField name="NWC ($M)" numFmtId="44">
      <sharedItems containsSemiMixedTypes="0" containsString="0" containsNumber="1" minValue="3972" maxValue="8931.7409667742904"/>
    </cacheField>
    <cacheField name="NWC %" numFmtId="10">
      <sharedItems containsSemiMixedTypes="0" containsString="0" containsNumber="1" minValue="0.21529622201745352" maxValue="0.44732598763773179"/>
    </cacheField>
    <cacheField name="∆ NWC" numFmtId="0">
      <sharedItems containsString="0" containsBlank="1" containsNumber="1" minValue="-1992" maxValue="2634"/>
    </cacheField>
    <cacheField name="Equity - Debt" numFmtId="0" formula="'Equity ($M)'-'Net Debt ($M)'"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is Waseem" refreshedDate="46155.957746412038" createdVersion="8" refreshedVersion="8" minRefreshableVersion="3" recordCount="9" xr:uid="{F0427B5E-3812-4242-B1F3-BAD2DEA78ADE}">
  <cacheSource type="worksheet">
    <worksheetSource ref="A1:Q10" sheet="Master Data"/>
  </cacheSource>
  <cacheFields count="17">
    <cacheField name="Year" numFmtId="0">
      <sharedItems count="9">
        <s v="FY 2019"/>
        <s v="FY 2020"/>
        <s v="FY 2021"/>
        <s v="FY 2022"/>
        <s v="FY 2023"/>
        <s v="FY 2024"/>
        <s v="FY 2025"/>
        <s v="FY 2026"/>
        <s v="FY 2027"/>
      </sharedItems>
    </cacheField>
    <cacheField name="Revenue Adj ($M)" numFmtId="44">
      <sharedItems containsSemiMixedTypes="0" containsString="0" containsNumber="1" minValue="14351" maxValue="29602.892857142899"/>
    </cacheField>
    <cacheField name="YoY Growth %" numFmtId="10">
      <sharedItems containsSemiMixedTypes="0" containsString="0" containsNumber="1" minValue="-3.5810000000000002E-2" maxValue="0.192112"/>
    </cacheField>
    <cacheField name="Gross Margin %" numFmtId="10">
      <sharedItems containsSemiMixedTypes="0" containsString="0" containsNumber="1" minValue="0.63100000000000001" maxValue="0.65900000000000003"/>
    </cacheField>
    <cacheField name="EBITDA Adj ($M)" numFmtId="44">
      <sharedItems containsSemiMixedTypes="0" containsString="0" containsNumber="1" minValue="3969" maxValue="8626.3478260869597"/>
    </cacheField>
    <cacheField name="EBITDA Margin %" numFmtId="10">
      <sharedItems containsSemiMixedTypes="0" containsString="0" containsNumber="1" minValue="0.265813865250149" maxValue="0.29259607632356899"/>
    </cacheField>
    <cacheField name="EBIT ($M)" numFmtId="44">
      <sharedItems containsSemiMixedTypes="0" containsString="0" containsNumber="1" minValue="3027" maxValue="8076.7692307692296"/>
    </cacheField>
    <cacheField name="NOPAT ($M)" numFmtId="44">
      <sharedItems containsNonDate="0" containsString="0" containsBlank="1"/>
    </cacheField>
    <cacheField name="Net Income Adj ($M)" numFmtId="44">
      <sharedItems containsSemiMixedTypes="0" containsString="0" containsNumber="1" minValue="2446" maxValue="6484.64"/>
    </cacheField>
    <cacheField name="Adj EPS" numFmtId="44">
      <sharedItems containsSemiMixedTypes="0" containsString="0" containsNumber="1" minValue="6.4272" maxValue="16.745999999999999"/>
    </cacheField>
    <cacheField name="FCF ($M)" numFmtId="44">
      <sharedItems containsSemiMixedTypes="0" containsString="0" containsNumber="1" minValue="1542" maxValue="5637.65"/>
    </cacheField>
    <cacheField name="EV ($M)" numFmtId="44">
      <sharedItems containsSemiMixedTypes="0" containsString="0" containsNumber="1" minValue="0" maxValue="146950.07"/>
    </cacheField>
    <cacheField name="Net Debt ($M)" numFmtId="44">
      <sharedItems containsSemiMixedTypes="0" containsString="0" containsNumber="1" minValue="5874.5714285714303" maxValue="11759"/>
    </cacheField>
    <cacheField name="Equity ($M)" numFmtId="44">
      <sharedItems containsSemiMixedTypes="0" containsString="0" containsNumber="1" minValue="0" maxValue="137323.07"/>
    </cacheField>
    <cacheField name="MedSurg % of Rev" numFmtId="10">
      <sharedItems containsSemiMixedTypes="0" containsString="0" containsNumber="1" minValue="0" maxValue="0.59827395441469344" count="8">
        <n v="0.44654363649731638"/>
        <n v="0.56940338618650899"/>
        <n v="0.58149257891436135"/>
        <n v="0.55751695113397237"/>
        <n v="0.59043850615209492"/>
        <n v="0.59337496341106455"/>
        <n v="0.59827395441469344"/>
        <n v="0"/>
      </sharedItems>
    </cacheField>
    <cacheField name="Ortho % of Rev" numFmtId="10">
      <sharedItems containsSemiMixedTypes="0" containsString="0" containsNumber="1" minValue="0" maxValue="0.55345636350268368" count="8">
        <n v="0.55345636350268368"/>
        <n v="0.43059661381349101"/>
        <n v="0.41850742108563865"/>
        <n v="0.44248304886602763"/>
        <n v="0.40956149384790508"/>
        <n v="0.40662503658893551"/>
        <n v="0.4017260455853065"/>
        <n v="0"/>
      </sharedItems>
    </cacheField>
    <cacheField name="Rule of 40" numFmtId="10">
      <sharedItems containsSemiMixedTypes="0" containsString="0" containsNumber="1" minValue="0.24075609295519501" maxValue="0.47770938134206198"/>
    </cacheField>
  </cacheFields>
  <extLst>
    <ext xmlns:x14="http://schemas.microsoft.com/office/spreadsheetml/2009/9/main" uri="{725AE2AE-9491-48be-B2B4-4EB974FC3084}">
      <x14:pivotCacheDefinition pivotCacheId="96638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4884"/>
    <n v="9.4330999999999998E-2"/>
    <n v="0.65900000000000003"/>
    <n v="4355"/>
    <n v="0.29259607632356899"/>
    <n v="3444"/>
    <m/>
    <n v="2764"/>
    <n v="7.2725999999999997"/>
    <n v="1542"/>
    <n v="85690.305900000007"/>
    <n v="6665"/>
    <n v="78638.305900000007"/>
    <n v="4.3603869927438851E-2"/>
    <n v="6658"/>
    <n v="0.44732598763773179"/>
    <m/>
  </r>
  <r>
    <x v="1"/>
    <n v="14351"/>
    <n v="-3.5810000000000002E-2"/>
    <n v="0.63800000000000001"/>
    <n v="3969"/>
    <n v="0.27656609295519502"/>
    <n v="3027"/>
    <m/>
    <n v="2446"/>
    <n v="6.4272"/>
    <n v="2790"/>
    <n v="103585.2788"/>
    <n v="10967"/>
    <n v="92184.2788"/>
    <n v="3.3934917427356978E-2"/>
    <n v="4666"/>
    <n v="0.32513413699393773"/>
    <n v="-1992"/>
  </r>
  <r>
    <x v="2"/>
    <n v="17108"/>
    <n v="0.192112"/>
    <n v="0.6409999999999999"/>
    <n v="4886"/>
    <n v="0.28559738134206197"/>
    <n v="3763"/>
    <m/>
    <n v="2985"/>
    <n v="7.8022"/>
    <n v="2738"/>
    <n v="110844.9999"/>
    <n v="9460"/>
    <n v="100962.9999"/>
    <n v="3.0687397708674305E-2"/>
    <n v="5468"/>
    <n v="0.31961655365910685"/>
    <n v="802"/>
  </r>
  <r>
    <x v="3"/>
    <n v="18449"/>
    <n v="7.8383999999999995E-2"/>
    <n v="0.63100000000000001"/>
    <n v="4904"/>
    <n v="0.265813865250149"/>
    <n v="3757"/>
    <m/>
    <n v="3076"/>
    <n v="8.0486000000000004"/>
    <n v="2036"/>
    <n v="104218.45209999999"/>
    <n v="11120"/>
    <n v="92620.452099999995"/>
    <n v="3.187164615968345E-2"/>
    <n v="3972"/>
    <n v="0.21529622201745352"/>
    <n v="-1496"/>
  </r>
  <r>
    <x v="4"/>
    <n v="20498"/>
    <n v="0.111063"/>
    <n v="0.63900000000000001"/>
    <n v="5520"/>
    <n v="0.26929456532344598"/>
    <n v="4320"/>
    <m/>
    <n v="3563"/>
    <n v="9.2873000000000001"/>
    <n v="3136"/>
    <n v="124314.8682"/>
    <n v="9942"/>
    <n v="113873.8682"/>
    <n v="2.8051517221192316E-2"/>
    <n v="4597"/>
    <n v="0.22426578202751488"/>
    <n v="625"/>
  </r>
  <r>
    <x v="5"/>
    <n v="22595"/>
    <n v="0.10230299999999999"/>
    <n v="0.64461163999999993"/>
    <n v="6332"/>
    <n v="0.28023899092719601"/>
    <n v="5092"/>
    <m/>
    <n v="4205"/>
    <n v="10.9032"/>
    <n v="3487"/>
    <n v="146950.07"/>
    <n v="9104"/>
    <n v="137323.07"/>
    <n v="3.3414472228369109E-2"/>
    <n v="7231"/>
    <n v="0.32002655454746626"/>
    <n v="2634"/>
  </r>
  <r>
    <x v="6"/>
    <n v="25116"/>
    <n v="0.11157299999999999"/>
    <n v="0.65300000000000002"/>
    <n v="7269"/>
    <n v="0.28941710463449599"/>
    <n v="5871"/>
    <m/>
    <n v="4686"/>
    <n v="12.1257"/>
    <n v="4283"/>
    <n v="146697.27499999999"/>
    <n v="11759"/>
    <n v="134437.27499999999"/>
    <n v="3.0299410734193347E-2"/>
    <n v="6961"/>
    <n v="0.277154005414875"/>
    <n v="-270"/>
  </r>
  <r>
    <x v="7"/>
    <n v="27315.608056038378"/>
    <n v="8.7577960504792857E-2"/>
    <m/>
    <n v="7574.3455104703344"/>
    <n v="0.27729002023061144"/>
    <n v="6345.1431479486073"/>
    <n v="5361.6459600165726"/>
    <m/>
    <m/>
    <n v="6428.4492166614336"/>
    <m/>
    <n v="9193.285714285721"/>
    <m/>
    <n v="2.6896154705958963E-2"/>
    <n v="6388.714285714319"/>
    <n v="0.23388512064632705"/>
    <n v="-572.28571428568102"/>
  </r>
  <r>
    <x v="8"/>
    <n v="29601.924450328788"/>
    <n v="8.3699999999999997E-2"/>
    <m/>
    <n v="8324.2910979011103"/>
    <n v="0.28120776782161716"/>
    <n v="6992.204497636315"/>
    <n v="5908.412800502686"/>
    <m/>
    <m/>
    <n v="5563.0005422453105"/>
    <m/>
    <n v="5874.5714285714303"/>
    <m/>
    <n v="2.7829440020136875E-2"/>
    <n v="7242.4081632654415"/>
    <n v="0.24466004483654441"/>
    <n v="853.69387755112257"/>
  </r>
  <r>
    <x v="9"/>
    <n v="31674.059161851805"/>
    <n v="7.0000000000000007E-2"/>
    <m/>
    <n v="8953.6488547925874"/>
    <n v="0.28268081489146013"/>
    <n v="7528.3161925092563"/>
    <n v="6361.4271826703216"/>
    <m/>
    <m/>
    <n v="6388.2135318879127"/>
    <m/>
    <m/>
    <m/>
    <n v="2.7539010902592587E-2"/>
    <n v="7768.6822157435818"/>
    <n v="0.24526954931940559"/>
    <n v="526.27405247814022"/>
  </r>
  <r>
    <x v="10"/>
    <n v="33574.502711562913"/>
    <n v="0.06"/>
    <m/>
    <n v="9676.2743825315301"/>
    <n v="0.28820305890037989"/>
    <n v="8165.421760511199"/>
    <n v="6899.7813876319633"/>
    <m/>
    <m/>
    <n v="6716.1351194557465"/>
    <m/>
    <m/>
    <m/>
    <n v="2.656303918233327E-2"/>
    <n v="8571.3402748855297"/>
    <n v="0.255293141599789"/>
    <n v="802.65805914194789"/>
  </r>
  <r>
    <x v="11"/>
    <n v="35253.227847141061"/>
    <n v="0.05"/>
    <m/>
    <n v="10181.797554431134"/>
    <n v="0.28881887351080815"/>
    <n v="8595.4023013097867"/>
    <n v="7263.1149446067693"/>
    <m/>
    <m/>
    <n v="7641.8879985543881"/>
    <m/>
    <m/>
    <m/>
    <n v="2.5986673930370019E-2"/>
    <n v="8862.8483370025642"/>
    <n v="0.25140530040063597"/>
    <n v="291.50806211703457"/>
  </r>
  <r>
    <x v="12"/>
    <n v="36310.824682555292"/>
    <n v="0.03"/>
    <m/>
    <n v="10460.417093193069"/>
    <n v="0.28807985455143181"/>
    <n v="8826.429982478081"/>
    <n v="7458.3333351939782"/>
    <m/>
    <m/>
    <n v="8144.6284653940547"/>
    <m/>
    <m/>
    <m/>
    <n v="2.4202131414695849E-2"/>
    <n v="8931.7409667742904"/>
    <n v="0.24598011873482295"/>
    <n v="68.8926297717262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4884"/>
    <n v="9.4330999999999998E-2"/>
    <n v="0.65900000000000003"/>
    <n v="4355"/>
    <n v="0.29259607632356899"/>
    <n v="3444"/>
    <m/>
    <n v="2764"/>
    <n v="7.2725999999999997"/>
    <n v="1542"/>
    <n v="85690.305900000007"/>
    <n v="6665"/>
    <n v="78638.305900000007"/>
    <x v="0"/>
    <x v="0"/>
    <n v="0.38692707632356899"/>
  </r>
  <r>
    <x v="1"/>
    <n v="14351"/>
    <n v="-3.5810000000000002E-2"/>
    <n v="0.63800000000000001"/>
    <n v="3969"/>
    <n v="0.27656609295519502"/>
    <n v="3027"/>
    <m/>
    <n v="2446"/>
    <n v="6.4272"/>
    <n v="2790"/>
    <n v="103585.2788"/>
    <n v="10967"/>
    <n v="92184.2788"/>
    <x v="1"/>
    <x v="1"/>
    <n v="0.24075609295519501"/>
  </r>
  <r>
    <x v="2"/>
    <n v="17108"/>
    <n v="0.192112"/>
    <n v="0.6409999999999999"/>
    <n v="4886"/>
    <n v="0.28559738134206197"/>
    <n v="3763"/>
    <m/>
    <n v="2985"/>
    <n v="7.8022"/>
    <n v="2738"/>
    <n v="110844.9999"/>
    <n v="9460"/>
    <n v="100962.9999"/>
    <x v="2"/>
    <x v="2"/>
    <n v="0.47770938134206198"/>
  </r>
  <r>
    <x v="3"/>
    <n v="18449"/>
    <n v="7.8383999999999995E-2"/>
    <n v="0.63100000000000001"/>
    <n v="4904"/>
    <n v="0.265813865250149"/>
    <n v="3757"/>
    <m/>
    <n v="3076"/>
    <n v="8.0486000000000004"/>
    <n v="2036"/>
    <n v="104218.45209999999"/>
    <n v="11120"/>
    <n v="92620.452099999995"/>
    <x v="3"/>
    <x v="3"/>
    <n v="0.344197865250149"/>
  </r>
  <r>
    <x v="4"/>
    <n v="20498"/>
    <n v="0.111063"/>
    <n v="0.63900000000000001"/>
    <n v="5520"/>
    <n v="0.26929456532344598"/>
    <n v="4320"/>
    <m/>
    <n v="3563"/>
    <n v="9.2873000000000001"/>
    <n v="3136"/>
    <n v="124314.8682"/>
    <n v="9942"/>
    <n v="113873.8682"/>
    <x v="4"/>
    <x v="4"/>
    <n v="0.380357565323446"/>
  </r>
  <r>
    <x v="5"/>
    <n v="22595"/>
    <n v="0.10230299999999999"/>
    <n v="0.64461163999999993"/>
    <n v="6332"/>
    <n v="0.28023899092719601"/>
    <n v="5092"/>
    <m/>
    <n v="4205"/>
    <n v="10.9032"/>
    <n v="3487"/>
    <n v="146950.07"/>
    <n v="9104"/>
    <n v="137323.07"/>
    <x v="5"/>
    <x v="5"/>
    <n v="0.38254199092719599"/>
  </r>
  <r>
    <x v="6"/>
    <n v="25116"/>
    <n v="0.11157299999999999"/>
    <n v="0.65300000000000002"/>
    <n v="7269"/>
    <n v="0.28941710463449599"/>
    <n v="5871"/>
    <m/>
    <n v="4686"/>
    <n v="12.1257"/>
    <n v="4283"/>
    <n v="146697.27499999999"/>
    <n v="11759"/>
    <n v="134437.27499999999"/>
    <x v="6"/>
    <x v="6"/>
    <n v="0.40099010463449597"/>
  </r>
  <r>
    <x v="7"/>
    <n v="27317.214285714301"/>
    <n v="8.7641912952471993E-2"/>
    <n v="0.65211765350769568"/>
    <n v="7838.9166666666697"/>
    <n v="0.28695885988514097"/>
    <n v="7296.6923076923104"/>
    <m/>
    <n v="5814.8329999999996"/>
    <n v="15.013"/>
    <n v="5415.5249999999996"/>
    <n v="0"/>
    <n v="9193.285714285721"/>
    <n v="0"/>
    <x v="7"/>
    <x v="7"/>
    <n v="0.37460077283761295"/>
  </r>
  <r>
    <x v="8"/>
    <n v="29602.892857142899"/>
    <n v="8.3671729757008192E-2"/>
    <n v="0.65463259946705943"/>
    <n v="8626.3478260869597"/>
    <n v="0.29140219058035399"/>
    <n v="8076.7692307692296"/>
    <m/>
    <n v="6484.64"/>
    <n v="16.745999999999999"/>
    <n v="5637.65"/>
    <n v="0"/>
    <n v="5874.5714285714303"/>
    <n v="0"/>
    <x v="7"/>
    <x v="7"/>
    <n v="0.3750739203373622"/>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n v="163.13"/>
    <n v="-2.8627475019922688E-2"/>
    <n v="123.59"/>
    <n v="-3.0827736871915201E-2"/>
    <n v="35.44"/>
    <n v="9.424379232505653E-2"/>
    <n v="82.58"/>
    <n v="6.296924194720166E-3"/>
    <n v="3714.24"/>
    <n v="2.6091474971999817E-2"/>
  </r>
  <r>
    <x v="1"/>
    <x v="1"/>
    <x v="1"/>
    <n v="158.46"/>
    <n v="3.7170263788968816E-2"/>
    <n v="119.78"/>
    <n v="5.0091835030885434E-4"/>
    <n v="38.78"/>
    <n v="-3.3522434244456223E-3"/>
    <n v="83.1"/>
    <n v="6.4981949458484678E-3"/>
    <n v="3811.15"/>
    <n v="4.2438634008107767E-2"/>
  </r>
  <r>
    <x v="2"/>
    <x v="2"/>
    <x v="2"/>
    <n v="164.35"/>
    <n v="-9.8570124733800002E-3"/>
    <n v="119.84"/>
    <n v="2.0026702269693164E-3"/>
    <n v="38.65"/>
    <n v="0.12807244501940507"/>
    <n v="83.64"/>
    <n v="0.14203730272596848"/>
    <n v="3972.89"/>
    <n v="5.242531255584737E-2"/>
  </r>
  <r>
    <x v="3"/>
    <x v="3"/>
    <x v="3"/>
    <n v="162.72999999999999"/>
    <n v="4.0066367602777708E-2"/>
    <n v="120.08"/>
    <n v="-2.8564290473017895E-2"/>
    <n v="43.6"/>
    <n v="-2.4082568807339499E-2"/>
    <n v="95.52"/>
    <n v="3.9782244556114676E-3"/>
    <n v="4181.17"/>
    <n v="5.4865025818131574E-3"/>
  </r>
  <r>
    <x v="4"/>
    <x v="4"/>
    <x v="4"/>
    <n v="169.25"/>
    <n v="-2.6646971935007313E-2"/>
    <n v="116.65"/>
    <n v="-6.1723103300471704E-3"/>
    <n v="42.55"/>
    <n v="4.9353701527614646E-3"/>
    <n v="95.9"/>
    <n v="7.997914494264835E-2"/>
    <n v="4204.1099999999997"/>
    <n v="2.221397632316946E-2"/>
  </r>
  <r>
    <x v="5"/>
    <x v="5"/>
    <x v="5"/>
    <n v="164.74"/>
    <n v="4.5283476994051108E-2"/>
    <n v="115.93"/>
    <n v="4.3560769429828339E-2"/>
    <n v="42.76"/>
    <n v="6.6417212347988919E-2"/>
    <n v="103.57"/>
    <n v="8.4001158636670903E-2"/>
    <n v="4297.5"/>
    <n v="2.274810936591054E-2"/>
  </r>
  <r>
    <x v="6"/>
    <x v="6"/>
    <x v="6"/>
    <n v="172.2"/>
    <n v="5.4006968641115982E-3"/>
    <n v="120.98"/>
    <n v="4.4552818647710435E-2"/>
    <n v="45.6"/>
    <n v="-9.8684210526316374E-3"/>
    <n v="112.27"/>
    <n v="4.373385588313905E-2"/>
    <n v="4395.26"/>
    <n v="2.8990321391681118E-2"/>
  </r>
  <r>
    <x v="7"/>
    <x v="7"/>
    <x v="7"/>
    <n v="173.13"/>
    <n v="-6.7174955235949851E-2"/>
    <n v="126.37"/>
    <n v="-6.520534937089506E-2"/>
    <n v="45.15"/>
    <n v="-3.8981173864894747E-2"/>
    <n v="117.18"/>
    <n v="-3.3879501621437269E-2"/>
    <n v="4522.68"/>
    <n v="-4.7569140421166334E-2"/>
  </r>
  <r>
    <x v="8"/>
    <x v="8"/>
    <x v="8"/>
    <n v="161.5"/>
    <n v="8.544891640866803E-3"/>
    <n v="118.13"/>
    <n v="9.1086091594006602E-2"/>
    <n v="43.39"/>
    <n v="-5.992164093108987E-3"/>
    <n v="113.21"/>
    <n v="5.8387068280187249E-2"/>
    <n v="4307.54"/>
    <n v="6.9143873301234615E-2"/>
  </r>
  <r>
    <x v="9"/>
    <x v="9"/>
    <x v="9"/>
    <n v="162.88"/>
    <n v="-4.2669449901768131E-2"/>
    <n v="128.88999999999999"/>
    <n v="-2.4206687873380317E-2"/>
    <n v="43.13"/>
    <n v="-0.11731973104567595"/>
    <n v="119.82"/>
    <n v="-0.10440660991487227"/>
    <n v="4605.38"/>
    <n v="-8.3337314184714906E-3"/>
  </r>
  <r>
    <x v="10"/>
    <x v="10"/>
    <x v="10"/>
    <n v="155.93"/>
    <n v="9.7094850253318654E-2"/>
    <n v="125.77"/>
    <n v="0.11902679494315027"/>
    <n v="38.07"/>
    <n v="0.1158392434988178"/>
    <n v="107.31"/>
    <n v="0.20725002329699005"/>
    <n v="4567"/>
    <n v="4.3612874972629889E-2"/>
  </r>
  <r>
    <x v="11"/>
    <x v="11"/>
    <x v="11"/>
    <n v="171.07"/>
    <n v="7.1315835622844936E-3"/>
    <n v="140.74"/>
    <n v="-9.4358391359954608E-2"/>
    <n v="42.48"/>
    <n v="9.8870056497175618E-3"/>
    <n v="129.55000000000001"/>
    <n v="-0.15708220764183722"/>
    <n v="4766.18"/>
    <n v="-5.2585089106999772E-2"/>
  </r>
  <r>
    <x v="12"/>
    <x v="12"/>
    <x v="12"/>
    <n v="172.29"/>
    <n v="-4.4808172267688184E-2"/>
    <n v="127.46"/>
    <n v="-5.3663894555154523E-2"/>
    <n v="42.9"/>
    <n v="2.96037296037297E-2"/>
    <n v="109.2"/>
    <n v="2.9029304029304148E-2"/>
    <n v="4515.55"/>
    <n v="-3.1360520866782648E-2"/>
  </r>
  <r>
    <x v="13"/>
    <x v="13"/>
    <x v="13"/>
    <n v="164.57"/>
    <n v="7.6927751108950559E-2"/>
    <n v="120.62"/>
    <n v="-1.8736527938981951E-2"/>
    <n v="44.17"/>
    <n v="2.7167760923703099E-3"/>
    <n v="112.37"/>
    <n v="4.7610572216783886E-2"/>
    <n v="4373.9399999999996"/>
    <n v="3.5773238773280092E-2"/>
  </r>
  <r>
    <x v="14"/>
    <x v="14"/>
    <x v="14"/>
    <n v="177.23"/>
    <n v="1.8224905490041188E-2"/>
    <n v="118.36"/>
    <n v="-4.1061169313957424E-2"/>
    <n v="44.29"/>
    <n v="-4.9221043124858865E-2"/>
    <n v="117.72"/>
    <n v="-0.10142711518858305"/>
    <n v="4530.41"/>
    <n v="-8.7956719149039353E-2"/>
  </r>
  <r>
    <x v="15"/>
    <x v="15"/>
    <x v="15"/>
    <n v="180.46"/>
    <n v="-5.1534966197496201E-3"/>
    <n v="113.5"/>
    <n v="3.4889867841409572E-2"/>
    <n v="42.11"/>
    <n v="-2.6122061268107344E-2"/>
    <n v="105.78"/>
    <n v="-4.6606163736056083E-2"/>
    <n v="4131.93"/>
    <n v="5.3243883608722342E-5"/>
  </r>
  <r>
    <x v="16"/>
    <x v="16"/>
    <x v="16"/>
    <n v="179.53"/>
    <n v="-1.1251601403665212E-2"/>
    <n v="117.46"/>
    <n v="-7.500425676826139E-2"/>
    <n v="41.01"/>
    <n v="-9.1197268958790434E-2"/>
    <n v="100.85"/>
    <n v="-5.7114526524541298E-2"/>
    <n v="4132.1499999999996"/>
    <n v="-8.3919993223866451E-2"/>
  </r>
  <r>
    <x v="17"/>
    <x v="17"/>
    <x v="17"/>
    <n v="177.51"/>
    <n v="-1.6844121457945893E-2"/>
    <n v="108.65"/>
    <n v="1.7487344684767869E-3"/>
    <n v="37.270000000000003"/>
    <n v="0.10142205527233683"/>
    <n v="95.09"/>
    <n v="5.7314123461983391E-2"/>
    <n v="3785.38"/>
    <n v="9.1116347632205885E-2"/>
  </r>
  <r>
    <x v="18"/>
    <x v="18"/>
    <x v="18"/>
    <n v="174.52"/>
    <n v="-7.552143020857216E-2"/>
    <n v="108.84"/>
    <n v="-5.6872473355384034E-2"/>
    <n v="41.05"/>
    <n v="-1.8026796589524885E-2"/>
    <n v="100.54"/>
    <n v="-0.10383926795305365"/>
    <n v="4130.29"/>
    <n v="-4.2440119216810457E-2"/>
  </r>
  <r>
    <x v="19"/>
    <x v="19"/>
    <x v="19"/>
    <n v="161.34"/>
    <n v="1.2520143795710981E-2"/>
    <n v="102.65"/>
    <n v="-5.7379444715051187E-2"/>
    <n v="40.31"/>
    <n v="-3.9196229223517842E-2"/>
    <n v="90.1"/>
    <n v="-8.2907880133185397E-2"/>
    <n v="3955"/>
    <n v="-9.3395701643489315E-2"/>
  </r>
  <r>
    <x v="20"/>
    <x v="20"/>
    <x v="20"/>
    <n v="163.36000000000001"/>
    <n v="6.4948579823702168E-2"/>
    <n v="96.76"/>
    <n v="2.2529971062422494E-2"/>
    <n v="38.729999999999997"/>
    <n v="0.11309062742060427"/>
    <n v="82.63"/>
    <n v="-0.12344184920730961"/>
    <n v="3585.62"/>
    <n v="7.9863454576893256E-2"/>
  </r>
  <r>
    <x v="21"/>
    <x v="21"/>
    <x v="21"/>
    <n v="173.97"/>
    <n v="2.3164913490831829E-2"/>
    <n v="98.94"/>
    <n v="8.7325651910248547E-2"/>
    <n v="43.11"/>
    <n v="5.0104384133611735E-2"/>
    <n v="72.430000000000007"/>
    <n v="6.6547010907082704E-2"/>
    <n v="3871.98"/>
    <n v="5.3752860293699856E-2"/>
  </r>
  <r>
    <x v="22"/>
    <x v="22"/>
    <x v="22"/>
    <n v="178"/>
    <n v="-7.5842696629213613E-3"/>
    <n v="107.58"/>
    <n v="2.0542851831195419E-2"/>
    <n v="45.27"/>
    <n v="2.2089684117517105E-2"/>
    <n v="77.25"/>
    <n v="-3.4174757281553392E-2"/>
    <n v="4080.11"/>
    <n v="-5.8971449299161094E-2"/>
  </r>
  <r>
    <x v="23"/>
    <x v="23"/>
    <x v="23"/>
    <n v="176.65"/>
    <n v="-7.4893857911123796E-2"/>
    <n v="109.79"/>
    <n v="6.9223062209671227E-3"/>
    <n v="46.27"/>
    <n v="-4.3224551545284484E-4"/>
    <n v="74.61"/>
    <n v="2.8012330786757911E-2"/>
    <n v="3839.5"/>
    <n v="6.1752832400052027E-2"/>
  </r>
  <r>
    <x v="24"/>
    <x v="24"/>
    <x v="24"/>
    <n v="163.41999999999999"/>
    <n v="-6.2171092889487189E-2"/>
    <n v="110.55"/>
    <n v="-7.987336047037541E-2"/>
    <n v="46.25"/>
    <n v="1.0162162162162147E-2"/>
    <n v="76.7"/>
    <n v="4.8761408083441982E-2"/>
    <n v="4076.6"/>
    <n v="-2.6112446646715304E-2"/>
  </r>
  <r>
    <x v="25"/>
    <x v="25"/>
    <x v="25"/>
    <n v="153.26"/>
    <n v="1.1353255904998028E-2"/>
    <n v="101.72"/>
    <n v="-4.5222178529294998E-3"/>
    <n v="46.72"/>
    <n v="7.0847602739726012E-2"/>
    <n v="80.44"/>
    <n v="2.8468423669816056E-2"/>
    <n v="3970.15"/>
    <n v="3.5051572358727023E-2"/>
  </r>
  <r>
    <x v="26"/>
    <x v="26"/>
    <x v="26"/>
    <n v="155"/>
    <n v="5.6129032258064537E-2"/>
    <n v="101.26"/>
    <n v="9.095397985384146E-2"/>
    <n v="50.03"/>
    <n v="4.1774935038976446E-2"/>
    <n v="82.73"/>
    <n v="6.3459446391877172E-2"/>
    <n v="4109.3100000000004"/>
    <n v="1.464236088297044E-2"/>
  </r>
  <r>
    <x v="27"/>
    <x v="27"/>
    <x v="27"/>
    <n v="163.69999999999999"/>
    <n v="-5.277947464874766E-2"/>
    <n v="110.47"/>
    <n v="-7.6672399746537501E-2"/>
    <n v="52.12"/>
    <n v="-1.2279355333844943E-2"/>
    <n v="87.98"/>
    <n v="-4.2623323482609665E-2"/>
    <n v="4169.4799999999996"/>
    <n v="2.4823239348792381E-3"/>
  </r>
  <r>
    <x v="28"/>
    <x v="28"/>
    <x v="28"/>
    <n v="155.06"/>
    <n v="6.7457758287114755E-2"/>
    <n v="102"/>
    <n v="6.8823529411764728E-2"/>
    <n v="51.48"/>
    <n v="5.0699300699300842E-2"/>
    <n v="84.23"/>
    <n v="0.11990977086548726"/>
    <n v="4179.83"/>
    <n v="6.4727512841431301E-2"/>
  </r>
  <r>
    <x v="29"/>
    <x v="29"/>
    <x v="29"/>
    <n v="165.52"/>
    <n v="1.2143547607539773E-2"/>
    <n v="109.02"/>
    <n v="2.1188772702256387E-2"/>
    <n v="54.09"/>
    <n v="-4.1412460713625476E-2"/>
    <n v="94.33"/>
    <n v="-0.12996925686420024"/>
    <n v="4450.38"/>
    <n v="3.1138913980379268E-2"/>
  </r>
  <r>
    <x v="30"/>
    <x v="30"/>
    <x v="30"/>
    <n v="167.53"/>
    <n v="-3.4919118963767648E-2"/>
    <n v="111.33"/>
    <n v="-7.5720829964968983E-2"/>
    <n v="51.85"/>
    <n v="4.0308582449373187E-2"/>
    <n v="82.07"/>
    <n v="-6.8234434019739165E-2"/>
    <n v="4588.96"/>
    <n v="-1.771643248143373E-2"/>
  </r>
  <r>
    <x v="31"/>
    <x v="31"/>
    <x v="31"/>
    <n v="161.68"/>
    <n v="-3.667738743196447E-2"/>
    <n v="102.9"/>
    <n v="-5.8794946550048688E-2"/>
    <n v="53.94"/>
    <n v="-2.1134593993325956E-2"/>
    <n v="76.47"/>
    <n v="-9.4023800183078321E-2"/>
    <n v="4507.66"/>
    <n v="-4.871929116215501E-2"/>
  </r>
  <r>
    <x v="32"/>
    <x v="32"/>
    <x v="32"/>
    <n v="155.75"/>
    <n v="-4.7576243980738342E-2"/>
    <n v="96.85"/>
    <n v="-2.3748064016520409E-2"/>
    <n v="52.8"/>
    <n v="-3.0492424242424265E-2"/>
    <n v="69.28"/>
    <n v="-8.0254041570438805E-2"/>
    <n v="4288.05"/>
    <n v="-2.1979687736850106E-2"/>
  </r>
  <r>
    <x v="33"/>
    <x v="33"/>
    <x v="33"/>
    <n v="148.34"/>
    <n v="4.2604826749359503E-2"/>
    <n v="94.55"/>
    <n v="0.10301427815970388"/>
    <n v="51.19"/>
    <n v="9.1814807579605473E-2"/>
    <n v="63.72"/>
    <n v="6.2617702448210855E-2"/>
    <n v="4193.8"/>
    <n v="8.9179264628737709E-2"/>
  </r>
  <r>
    <x v="34"/>
    <x v="34"/>
    <x v="34"/>
    <n v="154.66"/>
    <n v="1.3448855554118788E-2"/>
    <n v="104.29"/>
    <n v="5.5422379902195562E-2"/>
    <n v="55.89"/>
    <n v="3.4353193773483559E-2"/>
    <n v="67.709999999999994"/>
    <n v="0.12612612612612617"/>
    <n v="4567.8"/>
    <n v="4.4229169403213753E-2"/>
  </r>
  <r>
    <x v="35"/>
    <x v="35"/>
    <x v="35"/>
    <n v="156.74"/>
    <n v="1.3780783463059887E-2"/>
    <n v="110.07"/>
    <n v="2.7982193149813872E-2"/>
    <n v="57.81"/>
    <n v="9.4274346998789005E-2"/>
    <n v="76.25"/>
    <n v="2.9114754098360729E-2"/>
    <n v="4769.83"/>
    <n v="1.5895744712075555E-2"/>
  </r>
  <r>
    <x v="36"/>
    <x v="36"/>
    <x v="36"/>
    <n v="158.9"/>
    <n v="1.5607300188797968E-2"/>
    <n v="113.15"/>
    <n v="4.8519664162615994E-2"/>
    <n v="63.26"/>
    <n v="4.6632943408156713E-2"/>
    <n v="78.47"/>
    <n v="8.1559831782846981E-2"/>
    <n v="4845.6499999999996"/>
    <n v="5.1720615397315317E-2"/>
  </r>
  <r>
    <x v="37"/>
    <x v="37"/>
    <x v="37"/>
    <n v="161.38"/>
    <n v="-1.976700954269428E-2"/>
    <n v="118.64"/>
    <n v="-4.1975724881995968E-2"/>
    <n v="66.209999999999994"/>
    <n v="3.4435885817852396E-2"/>
    <n v="84.87"/>
    <n v="0.12595734652998702"/>
    <n v="5096.2700000000004"/>
    <n v="3.1018764704381807E-2"/>
  </r>
  <r>
    <x v="38"/>
    <x v="38"/>
    <x v="38"/>
    <n v="158.19"/>
    <n v="-8.597256463746128E-2"/>
    <n v="113.66"/>
    <n v="-6.7657927151152597E-2"/>
    <n v="68.489999999999995"/>
    <n v="4.9350270112425321E-2"/>
    <n v="95.56"/>
    <n v="-0.11395981582251991"/>
    <n v="5254.35"/>
    <n v="-4.1615042774082567E-2"/>
  </r>
  <r>
    <x v="39"/>
    <x v="39"/>
    <x v="39"/>
    <n v="144.59"/>
    <n v="1.4385503838439506E-2"/>
    <n v="105.97"/>
    <n v="-3.5670472775313766E-2"/>
    <n v="71.87"/>
    <n v="5.1481842215110429E-2"/>
    <n v="84.67"/>
    <n v="2.6219440179520381E-2"/>
    <n v="5035.6899999999996"/>
    <n v="4.8021224499522619E-2"/>
  </r>
  <r>
    <x v="40"/>
    <x v="40"/>
    <x v="40"/>
    <n v="146.66999999999999"/>
    <n v="-3.4771937001430997E-3"/>
    <n v="102.19"/>
    <n v="1.6831392504158993E-2"/>
    <n v="75.569999999999993"/>
    <n v="1.9055180627233215E-2"/>
    <n v="86.89"/>
    <n v="6.306824720911508E-2"/>
    <n v="5277.51"/>
    <n v="3.4669759034089864E-2"/>
  </r>
  <r>
    <x v="41"/>
    <x v="41"/>
    <x v="41"/>
    <n v="146.16"/>
    <n v="7.9980842911877348E-2"/>
    <n v="103.91"/>
    <n v="1.9536137041670676E-2"/>
    <n v="77.010000000000005"/>
    <n v="-4.0644072198415926E-2"/>
    <n v="92.37"/>
    <n v="-0.31741907545739967"/>
    <n v="5460.48"/>
    <n v="1.1321349038912354E-2"/>
  </r>
  <r>
    <x v="42"/>
    <x v="42"/>
    <x v="42"/>
    <n v="157.85"/>
    <n v="5.0744377573646027E-2"/>
    <n v="105.94"/>
    <n v="6.9190107608080087E-2"/>
    <n v="73.88"/>
    <n v="0.10706551164049816"/>
    <n v="63.05"/>
    <n v="0.10959555908009522"/>
    <n v="5522.3"/>
    <n v="2.2834688445031892E-2"/>
  </r>
  <r>
    <x v="43"/>
    <x v="43"/>
    <x v="43"/>
    <n v="165.86"/>
    <n v="-2.2910888701314414E-2"/>
    <n v="113.27"/>
    <n v="6.5330625938024856E-3"/>
    <n v="81.790000000000006"/>
    <n v="2.4575131434160458E-2"/>
    <n v="69.959999999999994"/>
    <n v="-5.6746712407089728E-2"/>
    <n v="5648.4"/>
    <n v="2.0196869910062976E-2"/>
  </r>
  <r>
    <x v="44"/>
    <x v="44"/>
    <x v="44"/>
    <n v="162.06"/>
    <n v="-1.3575219054671073E-2"/>
    <n v="114.01"/>
    <n v="-5.6135426716954484E-3"/>
    <n v="83.8"/>
    <n v="2.625298329355541E-3"/>
    <n v="65.989999999999995"/>
    <n v="1.5456887407182984E-2"/>
    <n v="5762.48"/>
    <n v="-9.8967805528175079E-3"/>
  </r>
  <r>
    <x v="45"/>
    <x v="45"/>
    <x v="45"/>
    <n v="159.86000000000001"/>
    <n v="-3.0339046665832758E-2"/>
    <n v="113.37"/>
    <n v="4.7631648584281372E-2"/>
    <n v="84.02"/>
    <n v="7.9028802666031961E-2"/>
    <n v="67.010000000000005"/>
    <n v="6.4766452768243443E-2"/>
    <n v="5705.45"/>
    <n v="5.7301352215863854E-2"/>
  </r>
  <r>
    <x v="46"/>
    <x v="46"/>
    <x v="46"/>
    <n v="155.01"/>
    <n v="-6.7027933681697904E-2"/>
    <n v="118.77"/>
    <n v="-4.7655131767281311E-2"/>
    <n v="90.66"/>
    <n v="-1.478049856607111E-2"/>
    <n v="71.349999999999994"/>
    <n v="3.756131744919422E-2"/>
    <n v="6032.38"/>
    <n v="-2.4990136563014964E-2"/>
  </r>
  <r>
    <x v="47"/>
    <x v="47"/>
    <x v="47"/>
    <n v="144.62"/>
    <n v="5.2067487207855034E-2"/>
    <n v="113.11"/>
    <n v="0.13102289806383172"/>
    <n v="89.32"/>
    <n v="0.14599193909538744"/>
    <n v="74.03"/>
    <n v="-2.1342698905848945E-2"/>
    <n v="5881.63"/>
    <n v="2.7016320305765618E-2"/>
  </r>
  <r>
    <x v="48"/>
    <x v="48"/>
    <x v="48"/>
    <n v="152.15"/>
    <n v="8.4587578047979006E-2"/>
    <n v="127.93"/>
    <n v="7.8793089971077812E-2"/>
    <n v="102.36"/>
    <n v="1.397030089878859E-2"/>
    <n v="72.45"/>
    <n v="-1.1456176673567908E-2"/>
    <n v="6040.53"/>
    <n v="-1.4242127760312417E-2"/>
  </r>
  <r>
    <x v="49"/>
    <x v="49"/>
    <x v="49"/>
    <n v="165.02"/>
    <n v="4.9690946551932402E-3"/>
    <n v="138.01"/>
    <n v="-3.8837765379320266E-2"/>
    <n v="103.79"/>
    <n v="-2.8037383177570208E-2"/>
    <n v="71.62"/>
    <n v="1.2007819044959511E-2"/>
    <n v="5954.5"/>
    <n v="-5.7544714081786852E-2"/>
  </r>
  <r>
    <x v="50"/>
    <x v="50"/>
    <x v="50"/>
    <n v="165.84"/>
    <n v="-5.7465026531596686E-2"/>
    <n v="132.65"/>
    <n v="-1.4323407463249227E-2"/>
    <n v="100.88"/>
    <n v="1.9726407613005703E-2"/>
    <n v="72.48"/>
    <n v="4.1528697571743711E-2"/>
    <n v="5611.85"/>
    <n v="-7.6249365182604611E-3"/>
  </r>
  <r>
    <x v="51"/>
    <x v="51"/>
    <x v="51"/>
    <n v="156.31"/>
    <n v="-7.0372976776916785E-3"/>
    <n v="130.75"/>
    <n v="2.1644359464627172E-2"/>
    <n v="102.87"/>
    <n v="2.3233206960241004E-2"/>
    <n v="75.489999999999995"/>
    <n v="3.6163730295403429E-2"/>
    <n v="5569.06"/>
    <n v="6.1523847830692979E-2"/>
  </r>
  <r>
    <x v="52"/>
    <x v="52"/>
    <x v="52"/>
    <n v="155.21"/>
    <n v="-1.5849494233619033E-2"/>
    <n v="133.58000000000001"/>
    <n v="1.8191346009881482E-2"/>
    <n v="105.26"/>
    <n v="2.0425612768383061E-2"/>
    <n v="78.22"/>
    <n v="-1.2784454103820231E-4"/>
    <n v="5911.69"/>
    <n v="4.960679602617879E-2"/>
  </r>
  <r>
    <x v="53"/>
    <x v="53"/>
    <x v="53"/>
    <n v="152.75"/>
    <n v="7.8494271685761063E-2"/>
    <n v="136.01"/>
    <n v="-7.2200573487243513E-2"/>
    <n v="107.41"/>
    <n v="-2.3182199050367669E-2"/>
    <n v="78.209999999999994"/>
    <n v="1.4064697609001531E-2"/>
    <n v="6204.95"/>
    <n v="2.1666572655702376E-2"/>
  </r>
  <r>
    <x v="54"/>
    <x v="54"/>
    <x v="54"/>
    <n v="164.74"/>
    <n v="7.5452227752822454E-2"/>
    <n v="126.19"/>
    <n v="5.1271891592043817E-2"/>
    <n v="104.92"/>
    <n v="5.5280213495996211E-3"/>
    <n v="79.31"/>
    <n v="2.5595763459841159E-2"/>
    <n v="6339.39"/>
    <n v="1.9066503244002941E-2"/>
  </r>
  <r>
    <x v="55"/>
    <x v="55"/>
    <x v="55"/>
    <n v="177.17"/>
    <n v="4.6565445617203771E-2"/>
    <n v="132.66"/>
    <n v="9.6487260666364705E-3"/>
    <n v="105.5"/>
    <n v="-7.459715639810427E-2"/>
    <n v="81.34"/>
    <n v="-4.3889845094664426E-2"/>
    <n v="6460.26"/>
    <n v="3.5323655704259549E-2"/>
  </r>
  <r>
    <x v="56"/>
    <x v="56"/>
    <x v="56"/>
    <n v="185.42"/>
    <n v="1.8606407075827835E-2"/>
    <n v="133.94"/>
    <n v="-7.7049425115723436E-2"/>
    <n v="97.63"/>
    <n v="3.165010754890929E-2"/>
    <n v="77.77"/>
    <n v="6.0177446316060257E-2"/>
    <n v="6688.46"/>
    <n v="2.2686836730727133E-2"/>
  </r>
  <r>
    <x v="57"/>
    <x v="57"/>
    <x v="57"/>
    <n v="188.87"/>
    <n v="9.5568380367448524E-2"/>
    <n v="123.62"/>
    <n v="4.2711535350266949E-2"/>
    <n v="100.72"/>
    <n v="8.5385226370136014E-3"/>
    <n v="82.45"/>
    <n v="5.118253486961799E-2"/>
    <n v="6840.2"/>
    <n v="1.299669600304032E-3"/>
  </r>
  <r>
    <x v="58"/>
    <x v="58"/>
    <x v="58"/>
    <n v="206.92"/>
    <n v="1.4498356852898908E-4"/>
    <n v="128.9"/>
    <n v="-2.8006206361520514E-2"/>
    <n v="101.58"/>
    <n v="-6.1330970663516449E-2"/>
    <n v="86.67"/>
    <n v="-1.6383985231337328E-2"/>
    <n v="6849.09"/>
    <n v="-5.2415722380638741E-4"/>
  </r>
  <r>
    <x v="59"/>
    <x v="59"/>
    <x v="59"/>
    <n v="206.95"/>
    <n v="9.8091326407344859E-2"/>
    <n v="125.29"/>
    <n v="-0.1276239125229468"/>
    <n v="95.35"/>
    <n v="-1.9087572102779116E-2"/>
    <n v="85.25"/>
    <n v="-4.5630498533724362E-2"/>
    <n v="6845.5"/>
    <n v="1.3662990285588927E-2"/>
  </r>
  <r>
    <x v="60"/>
    <x v="60"/>
    <x v="60"/>
    <n v="227.25"/>
    <n v="9.320132013201321E-2"/>
    <n v="109.3"/>
    <n v="6.4501372369624832E-2"/>
    <n v="93.53"/>
    <n v="-0.17833850101571691"/>
    <n v="81.36"/>
    <n v="6.2807276302851545E-2"/>
    <n v="6939.03"/>
    <n v="-8.6683585457909551E-3"/>
  </r>
  <r>
    <x v="61"/>
    <x v="61"/>
    <x v="61"/>
    <n v="248.43"/>
    <n v="-1.6060862214708371E-2"/>
    <n v="116.35"/>
    <n v="-0.11757627847013319"/>
    <n v="76.849999999999994"/>
    <n v="-0.18347430058555625"/>
    <n v="86.47"/>
    <n v="-7.3898461894298606E-2"/>
    <n v="6878.88"/>
    <n v="-5.4136719931151656E-2"/>
  </r>
  <r>
    <x v="62"/>
    <x v="62"/>
    <x v="62"/>
    <n v="244.44"/>
    <m/>
    <n v="102.67"/>
    <m/>
    <n v="62.75"/>
    <m/>
    <n v="80.08"/>
    <m/>
    <n v="6506.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EC1A1-1C70-4EA1-98EB-39120E7318AA}"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15:E28" firstHeaderRow="0" firstDataRow="1" firstDataCol="1"/>
  <pivotFields count="19">
    <pivotField axis="axisRow" showAll="0">
      <items count="14">
        <item x="0"/>
        <item x="1"/>
        <item x="2"/>
        <item x="3"/>
        <item x="4"/>
        <item x="5"/>
        <item x="6"/>
        <item x="7"/>
        <item x="8"/>
        <item x="9"/>
        <item x="10"/>
        <item x="11"/>
        <item x="12"/>
        <item t="default"/>
      </items>
    </pivotField>
    <pivotField numFmtId="44" showAll="0"/>
    <pivotField dataField="1" numFmtId="10" showAll="0"/>
    <pivotField showAll="0"/>
    <pivotField numFmtId="44" showAll="0"/>
    <pivotField dataField="1" numFmtId="10" showAll="0"/>
    <pivotField numFmtId="44" showAll="0"/>
    <pivotField showAll="0"/>
    <pivotField showAll="0"/>
    <pivotField showAll="0"/>
    <pivotField numFmtId="44" showAll="0"/>
    <pivotField showAll="0"/>
    <pivotField showAll="0"/>
    <pivotField showAll="0"/>
    <pivotField dataField="1" numFmtId="10" showAll="0"/>
    <pivotField numFmtId="44" showAll="0"/>
    <pivotField dataField="1" numFmtId="10" showAll="0"/>
    <pivotField showAll="0"/>
    <pivotField dragToRow="0" dragToCol="0" dragToPage="0" showAll="0" defaultSubtotal="0"/>
  </pivotFields>
  <rowFields count="1">
    <field x="0"/>
  </rowFields>
  <rowItems count="13">
    <i>
      <x/>
    </i>
    <i>
      <x v="1"/>
    </i>
    <i>
      <x v="2"/>
    </i>
    <i>
      <x v="3"/>
    </i>
    <i>
      <x v="4"/>
    </i>
    <i>
      <x v="5"/>
    </i>
    <i>
      <x v="6"/>
    </i>
    <i>
      <x v="7"/>
    </i>
    <i>
      <x v="8"/>
    </i>
    <i>
      <x v="9"/>
    </i>
    <i>
      <x v="10"/>
    </i>
    <i>
      <x v="11"/>
    </i>
    <i>
      <x v="12"/>
    </i>
  </rowItems>
  <colFields count="1">
    <field x="-2"/>
  </colFields>
  <colItems count="4">
    <i>
      <x/>
    </i>
    <i i="1">
      <x v="1"/>
    </i>
    <i i="2">
      <x v="2"/>
    </i>
    <i i="3">
      <x v="3"/>
    </i>
  </colItems>
  <dataFields count="4">
    <dataField name="Average of EBITDA Margin %" fld="5" subtotal="average" baseField="0" baseItem="0" numFmtId="10"/>
    <dataField name="Average of YoY Growth %" fld="2" subtotal="average" baseField="0" baseItem="0" numFmtId="10"/>
    <dataField name="Average of CapEx %" fld="14" subtotal="average" baseField="0" baseItem="0" numFmtId="10"/>
    <dataField name="Average of NWC %" fld="16" subtotal="average"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A04E6-CB7F-4333-BC94-16D7D0B7B94D}"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2:D39" firstHeaderRow="0" firstDataRow="1" firstDataCol="1"/>
  <pivotFields count="19">
    <pivotField axis="axisRow" showAll="0" measureFilter="1">
      <items count="14">
        <item x="0"/>
        <item x="1"/>
        <item x="2"/>
        <item x="3"/>
        <item x="4"/>
        <item x="5"/>
        <item x="6"/>
        <item x="7"/>
        <item x="8"/>
        <item x="9"/>
        <item x="10"/>
        <item x="11"/>
        <item x="12"/>
        <item t="default"/>
      </items>
    </pivotField>
    <pivotField numFmtId="44" showAll="0"/>
    <pivotField numFmtId="10" showAll="0"/>
    <pivotField showAll="0"/>
    <pivotField numFmtId="44" showAll="0"/>
    <pivotField numFmtId="10" showAll="0"/>
    <pivotField numFmtId="44" showAll="0"/>
    <pivotField showAll="0"/>
    <pivotField showAll="0"/>
    <pivotField showAll="0"/>
    <pivotField numFmtId="44" showAll="0"/>
    <pivotField showAll="0"/>
    <pivotField dataField="1" showAll="0"/>
    <pivotField dataField="1" showAll="0"/>
    <pivotField numFmtId="10" showAll="0"/>
    <pivotField numFmtId="44" showAll="0"/>
    <pivotField numFmtId="10" showAll="0"/>
    <pivotField showAll="0"/>
    <pivotField dataField="1" dragToRow="0" dragToCol="0" dragToPage="0" showAll="0" defaultSubtotal="0"/>
  </pivotFields>
  <rowFields count="1">
    <field x="0"/>
  </rowFields>
  <rowItems count="7">
    <i>
      <x/>
    </i>
    <i>
      <x v="1"/>
    </i>
    <i>
      <x v="2"/>
    </i>
    <i>
      <x v="3"/>
    </i>
    <i>
      <x v="4"/>
    </i>
    <i>
      <x v="5"/>
    </i>
    <i>
      <x v="6"/>
    </i>
  </rowItems>
  <colFields count="1">
    <field x="-2"/>
  </colFields>
  <colItems count="3">
    <i>
      <x/>
    </i>
    <i i="1">
      <x v="1"/>
    </i>
    <i i="2">
      <x v="2"/>
    </i>
  </colItems>
  <dataFields count="3">
    <dataField name="Average of Net Debt ($M)" fld="12" subtotal="average" baseField="0" baseItem="0"/>
    <dataField name="Average of Equity ($M)" fld="13" subtotal="average" baseField="0" baseItem="0"/>
    <dataField name="Sum of Equity - Debt" fld="18"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valueNotEqual" evalOrder="-1" id="1" iMeasureFld="1">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FD52C-E46C-40FA-869B-38A996CC9500}"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C10" firstHeaderRow="0" firstDataRow="1" firstDataCol="1"/>
  <pivotFields count="17">
    <pivotField axis="axisRow" subtotalTop="0" showAll="0" defaultSubtotal="0">
      <items count="9">
        <item x="0"/>
        <item x="1"/>
        <item x="2"/>
        <item x="3"/>
        <item x="4"/>
        <item x="5"/>
        <item x="6"/>
        <item h="1" x="7"/>
        <item h="1" x="8"/>
      </items>
    </pivotField>
    <pivotField numFmtId="44" subtotalTop="0" showAll="0" defaultSubtotal="0"/>
    <pivotField numFmtId="10" subtotalTop="0" showAll="0" defaultSubtotal="0"/>
    <pivotField numFmtId="10" subtotalTop="0" showAll="0" defaultSubtotal="0"/>
    <pivotField numFmtId="44" subtotalTop="0" showAll="0" defaultSubtotal="0"/>
    <pivotField numFmtId="10" subtotalTop="0" showAll="0" defaultSubtotal="0"/>
    <pivotField numFmtId="44" subtotalTop="0" showAll="0" defaultSubtotal="0"/>
    <pivotField subtotalTop="0" showAll="0" defaultSubtotal="0"/>
    <pivotField numFmtId="44" subtotalTop="0" showAll="0" defaultSubtotal="0"/>
    <pivotField numFmtId="44" subtotalTop="0" showAll="0" defaultSubtotal="0"/>
    <pivotField numFmtId="44" subtotalTop="0" showAll="0" defaultSubtotal="0"/>
    <pivotField numFmtId="44" subtotalTop="0" showAll="0" defaultSubtotal="0"/>
    <pivotField numFmtId="44" subtotalTop="0" showAll="0" defaultSubtotal="0"/>
    <pivotField numFmtId="44" subtotalTop="0" showAll="0" defaultSubtotal="0"/>
    <pivotField dataField="1" numFmtId="10" subtotalTop="0" showAll="0" defaultSubtotal="0">
      <items count="8">
        <item x="7"/>
        <item x="0"/>
        <item x="3"/>
        <item x="1"/>
        <item x="2"/>
        <item x="4"/>
        <item x="5"/>
        <item x="6"/>
      </items>
    </pivotField>
    <pivotField dataField="1" numFmtId="10" subtotalTop="0" showAll="0" defaultSubtotal="0">
      <items count="8">
        <item x="7"/>
        <item x="6"/>
        <item x="5"/>
        <item x="4"/>
        <item x="2"/>
        <item x="1"/>
        <item x="3"/>
        <item x="0"/>
      </items>
    </pivotField>
    <pivotField numFmtId="10" subtotalTop="0" showAll="0" defaultSubtotal="0"/>
  </pivotFields>
  <rowFields count="1">
    <field x="0"/>
  </rowFields>
  <rowItems count="7">
    <i>
      <x/>
    </i>
    <i>
      <x v="1"/>
    </i>
    <i>
      <x v="2"/>
    </i>
    <i>
      <x v="3"/>
    </i>
    <i>
      <x v="4"/>
    </i>
    <i>
      <x v="5"/>
    </i>
    <i>
      <x v="6"/>
    </i>
  </rowItems>
  <colFields count="1">
    <field x="-2"/>
  </colFields>
  <colItems count="2">
    <i>
      <x/>
    </i>
    <i i="1">
      <x v="1"/>
    </i>
  </colItems>
  <dataFields count="2">
    <dataField name="Average of MedSurg % of Rev" fld="14" subtotal="average" baseField="0" baseItem="0" numFmtId="10"/>
    <dataField name="Average of Ortho % of Rev" fld="15" subtotal="average" baseField="0" baseItem="0" numFmtId="10"/>
  </dataFields>
  <formats count="1">
    <format dxfId="21">
      <pivotArea dataOnly="0" labelOnly="1" fieldPosition="0">
        <references count="1">
          <reference field="0" count="1">
            <x v="0"/>
          </reference>
        </references>
      </pivotArea>
    </format>
  </formats>
  <chartFormats count="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DF24F-29A2-4E82-8D5E-01016E82332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F66" firstHeaderRow="0" firstDataRow="1" firstDataCol="1"/>
  <pivotFields count="16">
    <pivotField axis="axisRow" numFmtId="14"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dataField="1" numFmtId="44" showAll="0">
      <items count="64">
        <item x="17"/>
        <item x="20"/>
        <item x="19"/>
        <item x="18"/>
        <item x="0"/>
        <item x="21"/>
        <item x="22"/>
        <item x="16"/>
        <item x="10"/>
        <item x="15"/>
        <item x="1"/>
        <item x="2"/>
        <item x="23"/>
        <item x="12"/>
        <item x="24"/>
        <item x="4"/>
        <item x="5"/>
        <item x="3"/>
        <item x="25"/>
        <item x="13"/>
        <item x="8"/>
        <item x="9"/>
        <item x="14"/>
        <item x="11"/>
        <item x="33"/>
        <item x="6"/>
        <item x="32"/>
        <item x="28"/>
        <item x="7"/>
        <item x="30"/>
        <item x="31"/>
        <item x="26"/>
        <item x="34"/>
        <item x="35"/>
        <item x="27"/>
        <item x="29"/>
        <item x="42"/>
        <item x="62"/>
        <item x="36"/>
        <item x="39"/>
        <item x="41"/>
        <item x="40"/>
        <item x="37"/>
        <item x="59"/>
        <item x="57"/>
        <item x="45"/>
        <item x="38"/>
        <item x="47"/>
        <item x="43"/>
        <item x="44"/>
        <item x="60"/>
        <item x="56"/>
        <item x="58"/>
        <item x="50"/>
        <item x="51"/>
        <item x="52"/>
        <item x="49"/>
        <item x="61"/>
        <item x="48"/>
        <item x="55"/>
        <item x="46"/>
        <item x="54"/>
        <item x="53"/>
        <item t="default"/>
      </items>
    </pivotField>
    <pivotField showAll="0">
      <items count="64">
        <item x="61"/>
        <item x="16"/>
        <item x="9"/>
        <item x="14"/>
        <item x="46"/>
        <item x="27"/>
        <item x="11"/>
        <item x="29"/>
        <item x="38"/>
        <item x="55"/>
        <item x="58"/>
        <item x="7"/>
        <item x="18"/>
        <item x="41"/>
        <item x="56"/>
        <item x="31"/>
        <item x="49"/>
        <item x="3"/>
        <item x="15"/>
        <item x="44"/>
        <item x="48"/>
        <item x="19"/>
        <item x="32"/>
        <item x="53"/>
        <item x="54"/>
        <item x="40"/>
        <item x="30"/>
        <item x="43"/>
        <item x="1"/>
        <item x="50"/>
        <item x="8"/>
        <item x="34"/>
        <item x="39"/>
        <item x="13"/>
        <item x="4"/>
        <item x="21"/>
        <item x="6"/>
        <item x="51"/>
        <item x="37"/>
        <item x="52"/>
        <item x="24"/>
        <item x="23"/>
        <item x="36"/>
        <item x="57"/>
        <item x="5"/>
        <item x="22"/>
        <item x="60"/>
        <item x="26"/>
        <item x="59"/>
        <item x="12"/>
        <item x="2"/>
        <item x="17"/>
        <item x="25"/>
        <item x="47"/>
        <item x="33"/>
        <item x="0"/>
        <item x="45"/>
        <item x="42"/>
        <item x="28"/>
        <item x="35"/>
        <item x="10"/>
        <item x="20"/>
        <item x="62"/>
        <item t="default"/>
      </items>
    </pivotField>
    <pivotField dataField="1" numFmtId="44" showAll="0"/>
    <pivotField showAll="0"/>
    <pivotField dataField="1" numFmtId="44" showAll="0"/>
    <pivotField showAll="0"/>
    <pivotField dataField="1" numFmtId="44" showAll="0"/>
    <pivotField showAll="0"/>
    <pivotField dataField="1" numFmtId="44"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rowItems>
  <colFields count="1">
    <field x="-2"/>
  </colFields>
  <colItems count="5">
    <i>
      <x/>
    </i>
    <i i="1">
      <x v="1"/>
    </i>
    <i i="2">
      <x v="2"/>
    </i>
    <i i="3">
      <x v="3"/>
    </i>
    <i i="4">
      <x v="4"/>
    </i>
  </colItems>
  <dataFields count="5">
    <dataField name="Average of SYK" fld="1" subtotal="average" baseField="0" baseItem="5" numFmtId="44"/>
    <dataField name="Average of JNJ" fld="3" subtotal="average" baseField="0" baseItem="0" numFmtId="44"/>
    <dataField name="Average of ABT" fld="5" subtotal="average" baseField="0" baseItem="0" numFmtId="44"/>
    <dataField name="Average of BSX" fld="7" subtotal="average" baseField="0" baseItem="0" numFmtId="44"/>
    <dataField name="Average of EW" fld="9" subtotal="average" baseField="0" baseItem="0" numFmtId="44"/>
  </dataFields>
  <chartFormats count="5">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3"/>
          </reference>
        </references>
      </pivotArea>
    </chartFormat>
    <chartFormat chart="0" format="1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5">
  <a r="1">
    <v t="i">0</v>
  </a>
  <a r="1">
    <v>43.92</v>
  </a>
  <a r="1" c="63">
    <v t="i">0</v>
    <v t="i">31</v>
    <v t="i">59</v>
    <v t="i">90</v>
    <v t="i">120</v>
    <v t="i">151</v>
    <v t="i">181</v>
    <v t="i">212</v>
    <v t="i">243</v>
    <v t="i">273</v>
    <v t="i">304</v>
    <v t="i">334</v>
    <v t="i">365</v>
    <v t="i">396</v>
    <v t="i">424</v>
    <v t="i">455</v>
    <v t="i">485</v>
    <v t="i">516</v>
    <v t="i">546</v>
    <v t="i">577</v>
    <v t="i">608</v>
    <v t="i">638</v>
    <v t="i">669</v>
    <v t="i">699</v>
    <v t="i">730</v>
    <v t="i">761</v>
    <v t="i">789</v>
    <v t="i">820</v>
    <v t="i">850</v>
    <v t="i">881</v>
    <v t="i">911</v>
    <v t="i">942</v>
    <v t="i">973</v>
    <v t="i">1003</v>
    <v t="i">1034</v>
    <v t="i">1064</v>
    <v t="i">1095</v>
    <v t="i">1126</v>
    <v t="i">1155</v>
    <v t="i">1186</v>
    <v t="i">1216</v>
    <v t="i">1247</v>
    <v t="i">1277</v>
    <v t="i">1308</v>
    <v t="i">1339</v>
    <v t="i">1369</v>
    <v t="i">1400</v>
    <v t="i">1430</v>
    <v t="i">1461</v>
    <v t="i">1492</v>
    <v t="i">1520</v>
    <v t="i">1551</v>
    <v t="i">1581</v>
    <v t="i">1612</v>
    <v t="i">1642</v>
    <v t="i">1673</v>
    <v t="i">1704</v>
    <v t="i">1734</v>
    <v t="i">1765</v>
    <v t="i">1795</v>
    <v t="i">1826</v>
    <v t="i">1857</v>
    <v t="i">1885</v>
  </a>
  <a r="1" c="63">
    <v>123.59</v>
    <v>119.78</v>
    <v>119.84</v>
    <v>120.08</v>
    <v>116.65</v>
    <v>115.93</v>
    <v>120.98</v>
    <v>126.37</v>
    <v>118.13</v>
    <v>128.88999999999999</v>
    <v>125.77</v>
    <v>140.74</v>
    <v>127.46</v>
    <v>120.62</v>
    <v>118.36</v>
    <v>113.5</v>
    <v>117.46</v>
    <v>108.65</v>
    <v>108.84</v>
    <v>102.65</v>
    <v>96.76</v>
    <v>98.94</v>
    <v>107.58</v>
    <v>109.79</v>
    <v>110.55</v>
    <v>101.72</v>
    <v>101.26</v>
    <v>110.47</v>
    <v>102</v>
    <v>109.02</v>
    <v>111.33</v>
    <v>102.9</v>
    <v>96.85</v>
    <v>94.55</v>
    <v>104.29</v>
    <v>110.07</v>
    <v>113.15</v>
    <v>118.64</v>
    <v>113.66</v>
    <v>105.97</v>
    <v>102.19</v>
    <v>103.91</v>
    <v>105.94</v>
    <v>113.27</v>
    <v>114.01</v>
    <v>113.37</v>
    <v>118.77</v>
    <v>113.11</v>
    <v>127.93</v>
    <v>138.01</v>
    <v>132.65</v>
    <v>130.75</v>
    <v>133.58000000000001</v>
    <v>136.01</v>
    <v>126.19</v>
    <v>132.66</v>
    <v>133.94</v>
    <v>123.62</v>
    <v>128.9</v>
    <v>125.29</v>
    <v>109.3</v>
    <v>116.35</v>
    <v>102.67</v>
  </a>
  <a r="1" c="63">
    <v>82.58</v>
    <v>83.1</v>
    <v>83.64</v>
    <v>95.52</v>
    <v>95.9</v>
    <v>103.57</v>
    <v>112.27</v>
    <v>117.18</v>
    <v>113.21</v>
    <v>119.82</v>
    <v>107.31</v>
    <v>129.55000000000001</v>
    <v>109.2</v>
    <v>112.37</v>
    <v>117.72</v>
    <v>105.78</v>
    <v>100.85</v>
    <v>95.09</v>
    <v>100.54</v>
    <v>90.1</v>
    <v>82.63</v>
    <v>72.430000000000007</v>
    <v>77.25</v>
    <v>74.61</v>
    <v>76.7</v>
    <v>80.44</v>
    <v>82.73</v>
    <v>87.98</v>
    <v>84.23</v>
    <v>94.33</v>
    <v>82.07</v>
    <v>76.47</v>
    <v>69.28</v>
    <v>63.72</v>
    <v>67.709999999999994</v>
    <v>76.25</v>
    <v>78.47</v>
    <v>84.87</v>
    <v>95.56</v>
    <v>84.67</v>
    <v>86.89</v>
    <v>92.37</v>
    <v>63.05</v>
    <v>69.959999999999994</v>
    <v>65.989999999999995</v>
    <v>67.010000000000005</v>
    <v>71.349999999999994</v>
    <v>74.03</v>
    <v>72.45</v>
    <v>71.62</v>
    <v>72.48</v>
    <v>75.489999999999995</v>
    <v>78.22</v>
    <v>78.209999999999994</v>
    <v>79.31</v>
    <v>81.34</v>
    <v>77.77</v>
    <v>82.45</v>
    <v>86.67</v>
    <v>85.25</v>
    <v>81.36</v>
    <v>86.47</v>
    <v>80.08</v>
  </a>
  <a r="1" c="63">
    <v>163.13</v>
    <v>158.46</v>
    <v>164.35</v>
    <v>162.72999999999999</v>
    <v>169.25</v>
    <v>164.74</v>
    <v>172.2</v>
    <v>173.13</v>
    <v>161.5</v>
    <v>162.88</v>
    <v>155.93</v>
    <v>171.07</v>
    <v>172.29</v>
    <v>164.57</v>
    <v>177.23</v>
    <v>180.46</v>
    <v>179.53</v>
    <v>177.51</v>
    <v>174.52</v>
    <v>161.34</v>
    <v>163.36000000000001</v>
    <v>173.97</v>
    <v>178</v>
    <v>176.65</v>
    <v>163.41999999999999</v>
    <v>153.26</v>
    <v>155</v>
    <v>163.69999999999999</v>
    <v>155.06</v>
    <v>165.52</v>
    <v>167.53</v>
    <v>161.68</v>
    <v>155.75</v>
    <v>148.34</v>
    <v>154.66</v>
    <v>156.74</v>
    <v>158.9</v>
    <v>161.38</v>
    <v>158.19</v>
    <v>144.59</v>
    <v>146.66999999999999</v>
    <v>146.16</v>
    <v>157.85</v>
    <v>165.86</v>
    <v>162.06</v>
    <v>159.86000000000001</v>
    <v>155.01</v>
    <v>144.62</v>
    <v>152.15</v>
    <v>165.02</v>
    <v>165.84</v>
    <v>156.31</v>
    <v>155.21</v>
    <v>152.75</v>
    <v>164.74</v>
    <v>177.17</v>
    <v>185.42</v>
    <v>188.87</v>
    <v>206.92</v>
    <v>206.95</v>
    <v>227.25</v>
    <v>248.43</v>
    <v>244.44</v>
  </a>
  <a r="1" c="63">
    <v>221.01</v>
    <v>242.69</v>
    <v>243.58</v>
    <v>262.63</v>
    <v>255.27</v>
    <v>259.73</v>
    <v>270.94</v>
    <v>277.10000000000002</v>
    <v>263.72000000000003</v>
    <v>266.07</v>
    <v>236.63</v>
    <v>267.42</v>
    <v>248.05</v>
    <v>263.35000000000002</v>
    <v>267.35000000000002</v>
    <v>241.26</v>
    <v>234.5</v>
    <v>198.93</v>
    <v>214.75</v>
    <v>205.2</v>
    <v>202.54</v>
    <v>229.24</v>
    <v>233.89</v>
    <v>244.49</v>
    <v>253.81</v>
    <v>262.88</v>
    <v>285.47000000000003</v>
    <v>299.64999999999998</v>
    <v>275.58</v>
    <v>305.08999999999997</v>
    <v>283.41000000000003</v>
    <v>283.55</v>
    <v>273.27</v>
    <v>270.22000000000003</v>
    <v>296.33</v>
    <v>299.45999999999998</v>
    <v>335.48</v>
    <v>349.07</v>
    <v>357.87</v>
    <v>336.5</v>
    <v>341.09</v>
    <v>340.25</v>
    <v>327.45</v>
    <v>360.42</v>
    <v>361.26</v>
    <v>356.28</v>
    <v>392.15</v>
    <v>360.05</v>
    <v>391.29</v>
    <v>386.19</v>
    <v>372.25</v>
    <v>373.92</v>
    <v>382.64</v>
    <v>395.63</v>
    <v>392.73</v>
    <v>391.41</v>
    <v>369.67</v>
    <v>356.24</v>
    <v>371.18</v>
    <v>351.47</v>
    <v>369.56</v>
    <v>387.46</v>
    <v>328.59</v>
  </a>
  <a r="1" c="63">
    <v>35.44</v>
    <v>38.78</v>
    <v>38.65</v>
    <v>43.6</v>
    <v>42.55</v>
    <v>42.76</v>
    <v>45.6</v>
    <v>45.15</v>
    <v>43.39</v>
    <v>43.13</v>
    <v>38.07</v>
    <v>42.48</v>
    <v>42.9</v>
    <v>44.17</v>
    <v>44.29</v>
    <v>42.11</v>
    <v>41.01</v>
    <v>37.270000000000003</v>
    <v>41.05</v>
    <v>40.31</v>
    <v>38.729999999999997</v>
    <v>43.11</v>
    <v>45.27</v>
    <v>46.27</v>
    <v>46.25</v>
    <v>46.72</v>
    <v>50.03</v>
    <v>52.12</v>
    <v>51.48</v>
    <v>54.09</v>
    <v>51.85</v>
    <v>53.94</v>
    <v>52.8</v>
    <v>51.19</v>
    <v>55.89</v>
    <v>57.81</v>
    <v>63.26</v>
    <v>66.209999999999994</v>
    <v>68.489999999999995</v>
    <v>71.87</v>
    <v>75.569999999999993</v>
    <v>77.010000000000005</v>
    <v>73.88</v>
    <v>81.790000000000006</v>
    <v>83.8</v>
    <v>84.02</v>
    <v>90.66</v>
    <v>89.32</v>
    <v>102.36</v>
    <v>103.79</v>
    <v>100.88</v>
    <v>102.87</v>
    <v>105.26</v>
    <v>107.41</v>
    <v>104.92</v>
    <v>105.5</v>
    <v>97.63</v>
    <v>100.72</v>
    <v>101.58</v>
    <v>95.35</v>
    <v>93.53</v>
    <v>76.849999999999994</v>
    <v>62.75</v>
  </a>
  <a r="1">
    <v>306.76</v>
  </a>
  <a r="64">
    <v t="r">3</v>
    <v t="r">9</v>
    <v t="r">15</v>
    <v t="r">21</v>
    <v t="r">27</v>
    <v t="r">33</v>
    <v t="r">39</v>
    <v t="r">45</v>
    <v t="r">51</v>
    <v t="r">57</v>
    <v t="r">63</v>
    <v t="r">69</v>
    <v t="r">75</v>
    <v t="r">81</v>
    <v t="r">87</v>
    <v t="r">93</v>
    <v t="r">99</v>
    <v t="r">105</v>
    <v t="r">111</v>
    <v t="r">117</v>
    <v t="r">123</v>
    <v t="r">129</v>
    <v t="r">135</v>
    <v t="r">141</v>
    <v t="r">147</v>
    <v t="r">153</v>
    <v t="r">159</v>
    <v t="r">165</v>
    <v t="r">171</v>
    <v t="r">177</v>
    <v t="r">183</v>
    <v t="r">189</v>
    <v t="r">195</v>
    <v t="r">201</v>
    <v t="r">207</v>
    <v t="r">213</v>
    <v t="r">219</v>
    <v t="r">225</v>
    <v t="r">231</v>
    <v t="r">237</v>
    <v t="r">243</v>
    <v t="r">249</v>
    <v t="r">255</v>
    <v t="r">261</v>
    <v t="r">267</v>
    <v t="r">273</v>
    <v t="r">279</v>
    <v t="r">285</v>
    <v t="r">291</v>
    <v t="r">297</v>
    <v t="r">303</v>
    <v t="r">309</v>
    <v t="r">315</v>
    <v t="r">321</v>
    <v t="r">326</v>
    <v t="r">332</v>
    <v t="r">338</v>
    <v t="r">344</v>
    <v t="r">350</v>
    <v t="r">356</v>
    <v t="r">362</v>
    <v t="r">368</v>
    <v t="r">374</v>
    <v t="i">2</v>
  </a>
  <a r="64">
    <v t="r">4</v>
    <v t="r">10</v>
    <v t="r">16</v>
    <v t="r">22</v>
    <v t="r">28</v>
    <v t="r">34</v>
    <v t="r">40</v>
    <v t="r">46</v>
    <v t="r">52</v>
    <v t="r">58</v>
    <v t="r">64</v>
    <v t="r">70</v>
    <v t="r">76</v>
    <v t="r">82</v>
    <v t="r">88</v>
    <v t="r">94</v>
    <v t="r">100</v>
    <v t="r">106</v>
    <v t="r">112</v>
    <v t="r">118</v>
    <v t="r">124</v>
    <v t="r">130</v>
    <v t="r">136</v>
    <v t="r">142</v>
    <v t="r">148</v>
    <v t="r">154</v>
    <v t="r">160</v>
    <v t="r">166</v>
    <v t="r">172</v>
    <v t="r">178</v>
    <v t="r">184</v>
    <v t="r">190</v>
    <v t="r">196</v>
    <v t="r">202</v>
    <v t="r">208</v>
    <v t="r">214</v>
    <v t="r">220</v>
    <v t="r">226</v>
    <v t="r">232</v>
    <v t="r">238</v>
    <v t="r">244</v>
    <v t="r">250</v>
    <v t="r">256</v>
    <v t="r">262</v>
    <v t="r">268</v>
    <v t="r">274</v>
    <v t="r">280</v>
    <v t="r">286</v>
    <v t="r">292</v>
    <v t="r">298</v>
    <v t="r">304</v>
    <v t="r">310</v>
    <v t="r">316</v>
    <v t="r">322</v>
    <v t="r">327</v>
    <v t="r">333</v>
    <v t="r">339</v>
    <v t="r">345</v>
    <v t="r">351</v>
    <v t="r">357</v>
    <v t="r">363</v>
    <v t="r">369</v>
    <v t="r">375</v>
    <v t="i">2</v>
  </a>
  <a r="64">
    <v t="r">5</v>
    <v t="r">11</v>
    <v t="r">17</v>
    <v t="r">23</v>
    <v t="r">29</v>
    <v t="r">35</v>
    <v t="r">41</v>
    <v t="r">47</v>
    <v t="r">53</v>
    <v t="r">59</v>
    <v t="r">65</v>
    <v t="r">71</v>
    <v t="r">77</v>
    <v t="r">83</v>
    <v t="r">89</v>
    <v t="r">95</v>
    <v t="r">101</v>
    <v t="r">107</v>
    <v t="r">113</v>
    <v t="r">119</v>
    <v t="r">125</v>
    <v t="r">131</v>
    <v t="r">137</v>
    <v t="r">143</v>
    <v t="r">149</v>
    <v t="r">155</v>
    <v t="r">161</v>
    <v t="r">167</v>
    <v t="r">173</v>
    <v t="r">179</v>
    <v t="r">185</v>
    <v t="r">191</v>
    <v t="r">197</v>
    <v t="r">203</v>
    <v t="r">209</v>
    <v t="r">215</v>
    <v t="r">221</v>
    <v t="r">227</v>
    <v t="r">233</v>
    <v t="r">239</v>
    <v t="r">245</v>
    <v t="r">251</v>
    <v t="r">257</v>
    <v t="r">263</v>
    <v t="r">269</v>
    <v t="r">275</v>
    <v t="r">281</v>
    <v t="r">287</v>
    <v t="r">293</v>
    <v t="r">299</v>
    <v t="r">305</v>
    <v t="r">311</v>
    <v t="r">317</v>
    <v t="r">323</v>
    <v t="r">328</v>
    <v t="r">334</v>
    <v t="r">340</v>
    <v t="r">346</v>
    <v t="r">352</v>
    <v t="r">358</v>
    <v t="r">364</v>
    <v t="r">370</v>
    <v t="r">376</v>
    <v t="i">2</v>
  </a>
  <a r="64">
    <v t="r">2</v>
    <v t="r">8</v>
    <v t="r">14</v>
    <v t="r">20</v>
    <v t="r">26</v>
    <v t="r">32</v>
    <v t="r">38</v>
    <v t="r">44</v>
    <v t="r">50</v>
    <v t="r">56</v>
    <v t="r">62</v>
    <v t="r">68</v>
    <v t="r">74</v>
    <v t="r">80</v>
    <v t="r">86</v>
    <v t="r">92</v>
    <v t="r">98</v>
    <v t="r">104</v>
    <v t="r">110</v>
    <v t="r">116</v>
    <v t="r">122</v>
    <v t="r">128</v>
    <v t="r">134</v>
    <v t="r">140</v>
    <v t="r">146</v>
    <v t="r">152</v>
    <v t="r">158</v>
    <v t="r">164</v>
    <v t="r">170</v>
    <v t="r">176</v>
    <v t="r">182</v>
    <v t="r">188</v>
    <v t="r">194</v>
    <v t="r">200</v>
    <v t="r">206</v>
    <v t="r">212</v>
    <v t="r">218</v>
    <v t="r">224</v>
    <v t="r">230</v>
    <v t="r">236</v>
    <v t="r">242</v>
    <v t="r">248</v>
    <v t="r">254</v>
    <v t="r">260</v>
    <v t="r">266</v>
    <v t="r">272</v>
    <v t="r">278</v>
    <v t="r">284</v>
    <v t="r">290</v>
    <v t="r">296</v>
    <v t="r">302</v>
    <v t="r">308</v>
    <v t="r">314</v>
    <v t="r">320</v>
    <v t="r">32</v>
    <v t="r">331</v>
    <v t="r">337</v>
    <v t="r">343</v>
    <v t="r">349</v>
    <v t="r">355</v>
    <v t="r">361</v>
    <v t="r">367</v>
    <v t="r">373</v>
    <v t="i">2</v>
  </a>
  <a r="64">
    <v t="r">6</v>
    <v t="r">12</v>
    <v t="r">18</v>
    <v t="r">24</v>
    <v t="r">30</v>
    <v t="r">36</v>
    <v t="r">42</v>
    <v t="r">48</v>
    <v t="r">54</v>
    <v t="r">60</v>
    <v t="r">66</v>
    <v t="r">72</v>
    <v t="r">78</v>
    <v t="r">84</v>
    <v t="r">90</v>
    <v t="r">96</v>
    <v t="r">102</v>
    <v t="r">108</v>
    <v t="r">114</v>
    <v t="r">120</v>
    <v t="r">126</v>
    <v t="r">132</v>
    <v t="r">138</v>
    <v t="r">144</v>
    <v t="r">150</v>
    <v t="r">156</v>
    <v t="r">162</v>
    <v t="r">168</v>
    <v t="r">174</v>
    <v t="r">180</v>
    <v t="r">186</v>
    <v t="r">192</v>
    <v t="r">198</v>
    <v t="r">204</v>
    <v t="r">210</v>
    <v t="r">216</v>
    <v t="r">222</v>
    <v t="r">228</v>
    <v t="r">234</v>
    <v t="r">240</v>
    <v t="r">246</v>
    <v t="r">252</v>
    <v t="r">258</v>
    <v t="r">264</v>
    <v t="r">270</v>
    <v t="r">276</v>
    <v t="r">282</v>
    <v t="r">288</v>
    <v t="r">294</v>
    <v t="r">300</v>
    <v t="r">306</v>
    <v t="r">312</v>
    <v t="r">318</v>
    <v t="r">324</v>
    <v t="r">329</v>
    <v t="r">335</v>
    <v t="r">341</v>
    <v t="r">347</v>
    <v t="r">353</v>
    <v t="r">359</v>
    <v t="r">365</v>
    <v t="r">371</v>
    <v t="r">377</v>
    <v t="i">2</v>
  </a>
  <a r="64">
    <v t="r">1</v>
    <v t="r">7</v>
    <v t="r">13</v>
    <v t="r">19</v>
    <v t="r">25</v>
    <v t="r">31</v>
    <v t="r">37</v>
    <v t="r">43</v>
    <v t="r">49</v>
    <v t="r">55</v>
    <v t="r">61</v>
    <v t="r">67</v>
    <v t="r">73</v>
    <v t="r">79</v>
    <v t="r">85</v>
    <v t="r">91</v>
    <v t="r">97</v>
    <v t="r">103</v>
    <v t="r">109</v>
    <v t="r">115</v>
    <v t="r">121</v>
    <v t="r">127</v>
    <v t="r">133</v>
    <v t="r">139</v>
    <v t="r">145</v>
    <v t="r">151</v>
    <v t="r">157</v>
    <v t="r">163</v>
    <v t="r">169</v>
    <v t="r">175</v>
    <v t="r">181</v>
    <v t="r">187</v>
    <v t="r">193</v>
    <v t="r">199</v>
    <v t="r">205</v>
    <v t="r">211</v>
    <v t="r">217</v>
    <v t="r">223</v>
    <v t="r">229</v>
    <v t="r">235</v>
    <v t="r">241</v>
    <v t="r">247</v>
    <v t="r">253</v>
    <v t="r">259</v>
    <v t="r">265</v>
    <v t="r">271</v>
    <v t="r">277</v>
    <v t="r">283</v>
    <v t="r">289</v>
    <v t="r">295</v>
    <v t="r">301</v>
    <v t="r">307</v>
    <v t="r">313</v>
    <v t="r">319</v>
    <v t="r">325</v>
    <v t="r">330</v>
    <v t="r">336</v>
    <v t="r">342</v>
    <v t="r">348</v>
    <v t="r">354</v>
    <v t="r">360</v>
    <v t="r">366</v>
    <v t="r">372</v>
    <v t="i">1</v>
  </a>
</arrayData>
</file>

<file path=xl/richData/rdrichvalue.xml><?xml version="1.0" encoding="utf-8"?>
<rvData xmlns="http://schemas.microsoft.com/office/spreadsheetml/2017/richdata" count="392">
  <rv s="0">
    <fb>306.76</fb>
    <v>0</v>
  </rv>
  <rv s="0">
    <fb>221.01</fb>
    <v>0</v>
  </rv>
  <rv s="0">
    <fb>163.13</fb>
    <v>0</v>
  </rv>
  <rv s="0">
    <fb>123.59</fb>
    <v>0</v>
  </rv>
  <rv s="0">
    <fb>35.44</fb>
    <v>0</v>
  </rv>
  <rv s="0">
    <fb>82.58</fb>
    <v>0</v>
  </rv>
  <rv s="0">
    <fb>3714.24</fb>
    <v>0</v>
  </rv>
  <rv s="0">
    <fb>242.69</fb>
    <v>0</v>
  </rv>
  <rv s="0">
    <fb>158.46</fb>
    <v>0</v>
  </rv>
  <rv s="0">
    <fb>119.78</fb>
    <v>0</v>
  </rv>
  <rv s="0">
    <fb>38.78</fb>
    <v>0</v>
  </rv>
  <rv s="0">
    <fb>83.1</fb>
    <v>0</v>
  </rv>
  <rv s="0">
    <fb>3811.15</fb>
    <v>0</v>
  </rv>
  <rv s="0">
    <fb>243.58</fb>
    <v>0</v>
  </rv>
  <rv s="0">
    <fb>164.35</fb>
    <v>0</v>
  </rv>
  <rv s="0">
    <fb>119.84</fb>
    <v>0</v>
  </rv>
  <rv s="0">
    <fb>38.65</fb>
    <v>0</v>
  </rv>
  <rv s="0">
    <fb>83.64</fb>
    <v>0</v>
  </rv>
  <rv s="0">
    <fb>3972.89</fb>
    <v>0</v>
  </rv>
  <rv s="0">
    <fb>262.63</fb>
    <v>0</v>
  </rv>
  <rv s="0">
    <fb>162.72999999999999</fb>
    <v>0</v>
  </rv>
  <rv s="0">
    <fb>120.08</fb>
    <v>0</v>
  </rv>
  <rv s="0">
    <fb>43.6</fb>
    <v>0</v>
  </rv>
  <rv s="0">
    <fb>95.52</fb>
    <v>0</v>
  </rv>
  <rv s="0">
    <fb>4181.17</fb>
    <v>0</v>
  </rv>
  <rv s="0">
    <fb>255.27</fb>
    <v>0</v>
  </rv>
  <rv s="0">
    <fb>169.25</fb>
    <v>0</v>
  </rv>
  <rv s="0">
    <fb>116.65</fb>
    <v>0</v>
  </rv>
  <rv s="0">
    <fb>42.55</fb>
    <v>0</v>
  </rv>
  <rv s="0">
    <fb>95.9</fb>
    <v>0</v>
  </rv>
  <rv s="0">
    <fb>4204.1099999999997</fb>
    <v>0</v>
  </rv>
  <rv s="0">
    <fb>259.73</fb>
    <v>0</v>
  </rv>
  <rv s="0">
    <fb>164.74</fb>
    <v>0</v>
  </rv>
  <rv s="0">
    <fb>115.93</fb>
    <v>0</v>
  </rv>
  <rv s="0">
    <fb>42.76</fb>
    <v>0</v>
  </rv>
  <rv s="0">
    <fb>103.57</fb>
    <v>0</v>
  </rv>
  <rv s="0">
    <fb>4297.5</fb>
    <v>0</v>
  </rv>
  <rv s="0">
    <fb>270.94</fb>
    <v>0</v>
  </rv>
  <rv s="0">
    <fb>172.2</fb>
    <v>0</v>
  </rv>
  <rv s="0">
    <fb>120.98</fb>
    <v>0</v>
  </rv>
  <rv s="0">
    <fb>45.6</fb>
    <v>0</v>
  </rv>
  <rv s="0">
    <fb>112.27</fb>
    <v>0</v>
  </rv>
  <rv s="0">
    <fb>4395.26</fb>
    <v>0</v>
  </rv>
  <rv s="0">
    <fb>277.10000000000002</fb>
    <v>0</v>
  </rv>
  <rv s="0">
    <fb>173.13</fb>
    <v>0</v>
  </rv>
  <rv s="0">
    <fb>126.37</fb>
    <v>0</v>
  </rv>
  <rv s="0">
    <fb>45.15</fb>
    <v>0</v>
  </rv>
  <rv s="0">
    <fb>117.18</fb>
    <v>0</v>
  </rv>
  <rv s="0">
    <fb>4522.68</fb>
    <v>0</v>
  </rv>
  <rv s="0">
    <fb>263.72000000000003</fb>
    <v>0</v>
  </rv>
  <rv s="0">
    <fb>161.5</fb>
    <v>0</v>
  </rv>
  <rv s="0">
    <fb>118.13</fb>
    <v>0</v>
  </rv>
  <rv s="0">
    <fb>43.39</fb>
    <v>0</v>
  </rv>
  <rv s="0">
    <fb>113.21</fb>
    <v>0</v>
  </rv>
  <rv s="0">
    <fb>4307.54</fb>
    <v>0</v>
  </rv>
  <rv s="0">
    <fb>266.07</fb>
    <v>0</v>
  </rv>
  <rv s="0">
    <fb>162.88</fb>
    <v>0</v>
  </rv>
  <rv s="0">
    <fb>128.88999999999999</fb>
    <v>0</v>
  </rv>
  <rv s="0">
    <fb>43.13</fb>
    <v>0</v>
  </rv>
  <rv s="0">
    <fb>119.82</fb>
    <v>0</v>
  </rv>
  <rv s="0">
    <fb>4605.38</fb>
    <v>0</v>
  </rv>
  <rv s="0">
    <fb>236.63</fb>
    <v>0</v>
  </rv>
  <rv s="0">
    <fb>155.93</fb>
    <v>0</v>
  </rv>
  <rv s="0">
    <fb>125.77</fb>
    <v>0</v>
  </rv>
  <rv s="0">
    <fb>38.07</fb>
    <v>0</v>
  </rv>
  <rv s="0">
    <fb>107.31</fb>
    <v>0</v>
  </rv>
  <rv s="0">
    <fb>4567</fb>
    <v>0</v>
  </rv>
  <rv s="0">
    <fb>267.42</fb>
    <v>0</v>
  </rv>
  <rv s="0">
    <fb>171.07</fb>
    <v>0</v>
  </rv>
  <rv s="0">
    <fb>140.74</fb>
    <v>0</v>
  </rv>
  <rv s="0">
    <fb>42.48</fb>
    <v>0</v>
  </rv>
  <rv s="0">
    <fb>129.55000000000001</fb>
    <v>0</v>
  </rv>
  <rv s="0">
    <fb>4766.18</fb>
    <v>0</v>
  </rv>
  <rv s="0">
    <fb>248.05</fb>
    <v>0</v>
  </rv>
  <rv s="0">
    <fb>172.29</fb>
    <v>0</v>
  </rv>
  <rv s="0">
    <fb>127.46</fb>
    <v>0</v>
  </rv>
  <rv s="0">
    <fb>42.9</fb>
    <v>0</v>
  </rv>
  <rv s="0">
    <fb>109.2</fb>
    <v>0</v>
  </rv>
  <rv s="0">
    <fb>4515.55</fb>
    <v>0</v>
  </rv>
  <rv s="0">
    <fb>263.35000000000002</fb>
    <v>0</v>
  </rv>
  <rv s="0">
    <fb>164.57</fb>
    <v>0</v>
  </rv>
  <rv s="0">
    <fb>120.62</fb>
    <v>0</v>
  </rv>
  <rv s="0">
    <fb>44.17</fb>
    <v>0</v>
  </rv>
  <rv s="0">
    <fb>112.37</fb>
    <v>0</v>
  </rv>
  <rv s="0">
    <fb>4373.9399999999996</fb>
    <v>0</v>
  </rv>
  <rv s="0">
    <fb>267.35000000000002</fb>
    <v>0</v>
  </rv>
  <rv s="0">
    <fb>177.23</fb>
    <v>0</v>
  </rv>
  <rv s="0">
    <fb>118.36</fb>
    <v>0</v>
  </rv>
  <rv s="0">
    <fb>44.29</fb>
    <v>0</v>
  </rv>
  <rv s="0">
    <fb>117.72</fb>
    <v>0</v>
  </rv>
  <rv s="0">
    <fb>4530.41</fb>
    <v>0</v>
  </rv>
  <rv s="0">
    <fb>241.26</fb>
    <v>0</v>
  </rv>
  <rv s="0">
    <fb>180.46</fb>
    <v>0</v>
  </rv>
  <rv s="0">
    <fb>113.5</fb>
    <v>0</v>
  </rv>
  <rv s="0">
    <fb>42.11</fb>
    <v>0</v>
  </rv>
  <rv s="0">
    <fb>105.78</fb>
    <v>0</v>
  </rv>
  <rv s="0">
    <fb>4131.93</fb>
    <v>0</v>
  </rv>
  <rv s="0">
    <fb>234.5</fb>
    <v>0</v>
  </rv>
  <rv s="0">
    <fb>179.53</fb>
    <v>0</v>
  </rv>
  <rv s="0">
    <fb>117.46</fb>
    <v>0</v>
  </rv>
  <rv s="0">
    <fb>41.01</fb>
    <v>0</v>
  </rv>
  <rv s="0">
    <fb>100.85</fb>
    <v>0</v>
  </rv>
  <rv s="0">
    <fb>4132.1499999999996</fb>
    <v>0</v>
  </rv>
  <rv s="0">
    <fb>198.93</fb>
    <v>0</v>
  </rv>
  <rv s="0">
    <fb>177.51</fb>
    <v>0</v>
  </rv>
  <rv s="0">
    <fb>108.65</fb>
    <v>0</v>
  </rv>
  <rv s="0">
    <fb>37.270000000000003</fb>
    <v>0</v>
  </rv>
  <rv s="0">
    <fb>95.09</fb>
    <v>0</v>
  </rv>
  <rv s="0">
    <fb>3785.38</fb>
    <v>0</v>
  </rv>
  <rv s="0">
    <fb>214.75</fb>
    <v>0</v>
  </rv>
  <rv s="0">
    <fb>174.52</fb>
    <v>0</v>
  </rv>
  <rv s="0">
    <fb>108.84</fb>
    <v>0</v>
  </rv>
  <rv s="0">
    <fb>41.05</fb>
    <v>0</v>
  </rv>
  <rv s="0">
    <fb>100.54</fb>
    <v>0</v>
  </rv>
  <rv s="0">
    <fb>4130.29</fb>
    <v>0</v>
  </rv>
  <rv s="0">
    <fb>205.2</fb>
    <v>0</v>
  </rv>
  <rv s="0">
    <fb>161.34</fb>
    <v>0</v>
  </rv>
  <rv s="0">
    <fb>102.65</fb>
    <v>0</v>
  </rv>
  <rv s="0">
    <fb>40.31</fb>
    <v>0</v>
  </rv>
  <rv s="0">
    <fb>90.1</fb>
    <v>0</v>
  </rv>
  <rv s="0">
    <fb>3955</fb>
    <v>0</v>
  </rv>
  <rv s="0">
    <fb>202.54</fb>
    <v>0</v>
  </rv>
  <rv s="0">
    <fb>163.36000000000001</fb>
    <v>0</v>
  </rv>
  <rv s="0">
    <fb>96.76</fb>
    <v>0</v>
  </rv>
  <rv s="0">
    <fb>38.729999999999997</fb>
    <v>0</v>
  </rv>
  <rv s="0">
    <fb>82.63</fb>
    <v>0</v>
  </rv>
  <rv s="0">
    <fb>3585.62</fb>
    <v>0</v>
  </rv>
  <rv s="0">
    <fb>229.24</fb>
    <v>0</v>
  </rv>
  <rv s="0">
    <fb>173.97</fb>
    <v>0</v>
  </rv>
  <rv s="0">
    <fb>98.94</fb>
    <v>0</v>
  </rv>
  <rv s="0">
    <fb>43.11</fb>
    <v>0</v>
  </rv>
  <rv s="0">
    <fb>72.430000000000007</fb>
    <v>0</v>
  </rv>
  <rv s="0">
    <fb>3871.98</fb>
    <v>0</v>
  </rv>
  <rv s="0">
    <fb>233.89</fb>
    <v>0</v>
  </rv>
  <rv s="0">
    <fb>178</fb>
    <v>0</v>
  </rv>
  <rv s="0">
    <fb>107.58</fb>
    <v>0</v>
  </rv>
  <rv s="0">
    <fb>45.27</fb>
    <v>0</v>
  </rv>
  <rv s="0">
    <fb>77.25</fb>
    <v>0</v>
  </rv>
  <rv s="0">
    <fb>4080.11</fb>
    <v>0</v>
  </rv>
  <rv s="0">
    <fb>244.49</fb>
    <v>0</v>
  </rv>
  <rv s="0">
    <fb>176.65</fb>
    <v>0</v>
  </rv>
  <rv s="0">
    <fb>109.79</fb>
    <v>0</v>
  </rv>
  <rv s="0">
    <fb>46.27</fb>
    <v>0</v>
  </rv>
  <rv s="0">
    <fb>74.61</fb>
    <v>0</v>
  </rv>
  <rv s="0">
    <fb>3839.5</fb>
    <v>0</v>
  </rv>
  <rv s="0">
    <fb>253.81</fb>
    <v>0</v>
  </rv>
  <rv s="0">
    <fb>163.41999999999999</fb>
    <v>0</v>
  </rv>
  <rv s="0">
    <fb>110.55</fb>
    <v>0</v>
  </rv>
  <rv s="0">
    <fb>46.25</fb>
    <v>0</v>
  </rv>
  <rv s="0">
    <fb>76.7</fb>
    <v>0</v>
  </rv>
  <rv s="0">
    <fb>4076.6</fb>
    <v>0</v>
  </rv>
  <rv s="0">
    <fb>262.88</fb>
    <v>0</v>
  </rv>
  <rv s="0">
    <fb>153.26</fb>
    <v>0</v>
  </rv>
  <rv s="0">
    <fb>101.72</fb>
    <v>0</v>
  </rv>
  <rv s="0">
    <fb>46.72</fb>
    <v>0</v>
  </rv>
  <rv s="0">
    <fb>80.44</fb>
    <v>0</v>
  </rv>
  <rv s="0">
    <fb>3970.15</fb>
    <v>0</v>
  </rv>
  <rv s="0">
    <fb>285.47000000000003</fb>
    <v>0</v>
  </rv>
  <rv s="0">
    <fb>155</fb>
    <v>0</v>
  </rv>
  <rv s="0">
    <fb>101.26</fb>
    <v>0</v>
  </rv>
  <rv s="0">
    <fb>50.03</fb>
    <v>0</v>
  </rv>
  <rv s="0">
    <fb>82.73</fb>
    <v>0</v>
  </rv>
  <rv s="0">
    <fb>4109.3100000000004</fb>
    <v>0</v>
  </rv>
  <rv s="0">
    <fb>299.64999999999998</fb>
    <v>0</v>
  </rv>
  <rv s="0">
    <fb>163.69999999999999</fb>
    <v>0</v>
  </rv>
  <rv s="0">
    <fb>110.47</fb>
    <v>0</v>
  </rv>
  <rv s="0">
    <fb>52.12</fb>
    <v>0</v>
  </rv>
  <rv s="0">
    <fb>87.98</fb>
    <v>0</v>
  </rv>
  <rv s="0">
    <fb>4169.4799999999996</fb>
    <v>0</v>
  </rv>
  <rv s="0">
    <fb>275.58</fb>
    <v>0</v>
  </rv>
  <rv s="0">
    <fb>155.06</fb>
    <v>0</v>
  </rv>
  <rv s="0">
    <fb>102</fb>
    <v>0</v>
  </rv>
  <rv s="0">
    <fb>51.48</fb>
    <v>0</v>
  </rv>
  <rv s="0">
    <fb>84.23</fb>
    <v>0</v>
  </rv>
  <rv s="0">
    <fb>4179.83</fb>
    <v>0</v>
  </rv>
  <rv s="0">
    <fb>305.08999999999997</fb>
    <v>0</v>
  </rv>
  <rv s="0">
    <fb>165.52</fb>
    <v>0</v>
  </rv>
  <rv s="0">
    <fb>109.02</fb>
    <v>0</v>
  </rv>
  <rv s="0">
    <fb>54.09</fb>
    <v>0</v>
  </rv>
  <rv s="0">
    <fb>94.33</fb>
    <v>0</v>
  </rv>
  <rv s="0">
    <fb>4450.38</fb>
    <v>0</v>
  </rv>
  <rv s="0">
    <fb>283.41000000000003</fb>
    <v>0</v>
  </rv>
  <rv s="0">
    <fb>167.53</fb>
    <v>0</v>
  </rv>
  <rv s="0">
    <fb>111.33</fb>
    <v>0</v>
  </rv>
  <rv s="0">
    <fb>51.85</fb>
    <v>0</v>
  </rv>
  <rv s="0">
    <fb>82.07</fb>
    <v>0</v>
  </rv>
  <rv s="0">
    <fb>4588.96</fb>
    <v>0</v>
  </rv>
  <rv s="0">
    <fb>283.55</fb>
    <v>0</v>
  </rv>
  <rv s="0">
    <fb>161.68</fb>
    <v>0</v>
  </rv>
  <rv s="0">
    <fb>102.9</fb>
    <v>0</v>
  </rv>
  <rv s="0">
    <fb>53.94</fb>
    <v>0</v>
  </rv>
  <rv s="0">
    <fb>76.47</fb>
    <v>0</v>
  </rv>
  <rv s="0">
    <fb>4507.66</fb>
    <v>0</v>
  </rv>
  <rv s="0">
    <fb>273.27</fb>
    <v>0</v>
  </rv>
  <rv s="0">
    <fb>155.75</fb>
    <v>0</v>
  </rv>
  <rv s="0">
    <fb>96.85</fb>
    <v>0</v>
  </rv>
  <rv s="0">
    <fb>52.8</fb>
    <v>0</v>
  </rv>
  <rv s="0">
    <fb>69.28</fb>
    <v>0</v>
  </rv>
  <rv s="0">
    <fb>4288.05</fb>
    <v>0</v>
  </rv>
  <rv s="0">
    <fb>270.22000000000003</fb>
    <v>0</v>
  </rv>
  <rv s="0">
    <fb>148.34</fb>
    <v>0</v>
  </rv>
  <rv s="0">
    <fb>94.55</fb>
    <v>0</v>
  </rv>
  <rv s="0">
    <fb>51.19</fb>
    <v>0</v>
  </rv>
  <rv s="0">
    <fb>63.72</fb>
    <v>0</v>
  </rv>
  <rv s="0">
    <fb>4193.8</fb>
    <v>0</v>
  </rv>
  <rv s="0">
    <fb>296.33</fb>
    <v>0</v>
  </rv>
  <rv s="0">
    <fb>154.66</fb>
    <v>0</v>
  </rv>
  <rv s="0">
    <fb>104.29</fb>
    <v>0</v>
  </rv>
  <rv s="0">
    <fb>55.89</fb>
    <v>0</v>
  </rv>
  <rv s="0">
    <fb>67.709999999999994</fb>
    <v>0</v>
  </rv>
  <rv s="0">
    <fb>4567.8</fb>
    <v>0</v>
  </rv>
  <rv s="0">
    <fb>299.45999999999998</fb>
    <v>0</v>
  </rv>
  <rv s="0">
    <fb>156.74</fb>
    <v>0</v>
  </rv>
  <rv s="0">
    <fb>110.07</fb>
    <v>0</v>
  </rv>
  <rv s="0">
    <fb>57.81</fb>
    <v>0</v>
  </rv>
  <rv s="0">
    <fb>76.25</fb>
    <v>0</v>
  </rv>
  <rv s="0">
    <fb>4769.83</fb>
    <v>0</v>
  </rv>
  <rv s="0">
    <fb>335.48</fb>
    <v>0</v>
  </rv>
  <rv s="0">
    <fb>158.9</fb>
    <v>0</v>
  </rv>
  <rv s="0">
    <fb>113.15</fb>
    <v>0</v>
  </rv>
  <rv s="0">
    <fb>63.26</fb>
    <v>0</v>
  </rv>
  <rv s="0">
    <fb>78.47</fb>
    <v>0</v>
  </rv>
  <rv s="0">
    <fb>4845.6499999999996</fb>
    <v>0</v>
  </rv>
  <rv s="0">
    <fb>349.07</fb>
    <v>0</v>
  </rv>
  <rv s="0">
    <fb>161.38</fb>
    <v>0</v>
  </rv>
  <rv s="0">
    <fb>118.64</fb>
    <v>0</v>
  </rv>
  <rv s="0">
    <fb>66.209999999999994</fb>
    <v>0</v>
  </rv>
  <rv s="0">
    <fb>84.87</fb>
    <v>0</v>
  </rv>
  <rv s="0">
    <fb>5096.2700000000004</fb>
    <v>0</v>
  </rv>
  <rv s="0">
    <fb>357.87</fb>
    <v>0</v>
  </rv>
  <rv s="0">
    <fb>158.19</fb>
    <v>0</v>
  </rv>
  <rv s="0">
    <fb>113.66</fb>
    <v>0</v>
  </rv>
  <rv s="0">
    <fb>68.489999999999995</fb>
    <v>0</v>
  </rv>
  <rv s="0">
    <fb>95.56</fb>
    <v>0</v>
  </rv>
  <rv s="0">
    <fb>5254.35</fb>
    <v>0</v>
  </rv>
  <rv s="0">
    <fb>336.5</fb>
    <v>0</v>
  </rv>
  <rv s="0">
    <fb>144.59</fb>
    <v>0</v>
  </rv>
  <rv s="0">
    <fb>105.97</fb>
    <v>0</v>
  </rv>
  <rv s="0">
    <fb>71.87</fb>
    <v>0</v>
  </rv>
  <rv s="0">
    <fb>84.67</fb>
    <v>0</v>
  </rv>
  <rv s="0">
    <fb>5035.6899999999996</fb>
    <v>0</v>
  </rv>
  <rv s="0">
    <fb>341.09</fb>
    <v>0</v>
  </rv>
  <rv s="0">
    <fb>146.66999999999999</fb>
    <v>0</v>
  </rv>
  <rv s="0">
    <fb>102.19</fb>
    <v>0</v>
  </rv>
  <rv s="0">
    <fb>75.569999999999993</fb>
    <v>0</v>
  </rv>
  <rv s="0">
    <fb>86.89</fb>
    <v>0</v>
  </rv>
  <rv s="0">
    <fb>5277.51</fb>
    <v>0</v>
  </rv>
  <rv s="0">
    <fb>340.25</fb>
    <v>0</v>
  </rv>
  <rv s="0">
    <fb>146.16</fb>
    <v>0</v>
  </rv>
  <rv s="0">
    <fb>103.91</fb>
    <v>0</v>
  </rv>
  <rv s="0">
    <fb>77.010000000000005</fb>
    <v>0</v>
  </rv>
  <rv s="0">
    <fb>92.37</fb>
    <v>0</v>
  </rv>
  <rv s="0">
    <fb>5460.48</fb>
    <v>0</v>
  </rv>
  <rv s="0">
    <fb>327.45</fb>
    <v>0</v>
  </rv>
  <rv s="0">
    <fb>157.85</fb>
    <v>0</v>
  </rv>
  <rv s="0">
    <fb>105.94</fb>
    <v>0</v>
  </rv>
  <rv s="0">
    <fb>73.88</fb>
    <v>0</v>
  </rv>
  <rv s="0">
    <fb>63.05</fb>
    <v>0</v>
  </rv>
  <rv s="0">
    <fb>5522.3</fb>
    <v>0</v>
  </rv>
  <rv s="0">
    <fb>360.42</fb>
    <v>0</v>
  </rv>
  <rv s="0">
    <fb>165.86</fb>
    <v>0</v>
  </rv>
  <rv s="0">
    <fb>113.27</fb>
    <v>0</v>
  </rv>
  <rv s="0">
    <fb>81.790000000000006</fb>
    <v>0</v>
  </rv>
  <rv s="0">
    <fb>69.959999999999994</fb>
    <v>0</v>
  </rv>
  <rv s="0">
    <fb>5648.4</fb>
    <v>0</v>
  </rv>
  <rv s="0">
    <fb>361.26</fb>
    <v>0</v>
  </rv>
  <rv s="0">
    <fb>162.06</fb>
    <v>0</v>
  </rv>
  <rv s="0">
    <fb>114.01</fb>
    <v>0</v>
  </rv>
  <rv s="0">
    <fb>83.8</fb>
    <v>0</v>
  </rv>
  <rv s="0">
    <fb>65.989999999999995</fb>
    <v>0</v>
  </rv>
  <rv s="0">
    <fb>5762.48</fb>
    <v>0</v>
  </rv>
  <rv s="0">
    <fb>356.28</fb>
    <v>0</v>
  </rv>
  <rv s="0">
    <fb>159.86000000000001</fb>
    <v>0</v>
  </rv>
  <rv s="0">
    <fb>113.37</fb>
    <v>0</v>
  </rv>
  <rv s="0">
    <fb>84.02</fb>
    <v>0</v>
  </rv>
  <rv s="0">
    <fb>67.010000000000005</fb>
    <v>0</v>
  </rv>
  <rv s="0">
    <fb>5705.45</fb>
    <v>0</v>
  </rv>
  <rv s="0">
    <fb>392.15</fb>
    <v>0</v>
  </rv>
  <rv s="0">
    <fb>155.01</fb>
    <v>0</v>
  </rv>
  <rv s="0">
    <fb>118.77</fb>
    <v>0</v>
  </rv>
  <rv s="0">
    <fb>90.66</fb>
    <v>0</v>
  </rv>
  <rv s="0">
    <fb>71.349999999999994</fb>
    <v>0</v>
  </rv>
  <rv s="0">
    <fb>6032.38</fb>
    <v>0</v>
  </rv>
  <rv s="0">
    <fb>360.05</fb>
    <v>0</v>
  </rv>
  <rv s="0">
    <fb>144.62</fb>
    <v>0</v>
  </rv>
  <rv s="0">
    <fb>113.11</fb>
    <v>0</v>
  </rv>
  <rv s="0">
    <fb>89.32</fb>
    <v>0</v>
  </rv>
  <rv s="0">
    <fb>74.03</fb>
    <v>0</v>
  </rv>
  <rv s="0">
    <fb>5881.63</fb>
    <v>0</v>
  </rv>
  <rv s="0">
    <fb>391.29</fb>
    <v>0</v>
  </rv>
  <rv s="0">
    <fb>152.15</fb>
    <v>0</v>
  </rv>
  <rv s="0">
    <fb>127.93</fb>
    <v>0</v>
  </rv>
  <rv s="0">
    <fb>102.36</fb>
    <v>0</v>
  </rv>
  <rv s="0">
    <fb>72.45</fb>
    <v>0</v>
  </rv>
  <rv s="0">
    <fb>6040.53</fb>
    <v>0</v>
  </rv>
  <rv s="0">
    <fb>386.19</fb>
    <v>0</v>
  </rv>
  <rv s="0">
    <fb>165.02</fb>
    <v>0</v>
  </rv>
  <rv s="0">
    <fb>138.01</fb>
    <v>0</v>
  </rv>
  <rv s="0">
    <fb>103.79</fb>
    <v>0</v>
  </rv>
  <rv s="0">
    <fb>71.62</fb>
    <v>0</v>
  </rv>
  <rv s="0">
    <fb>5954.5</fb>
    <v>0</v>
  </rv>
  <rv s="0">
    <fb>372.25</fb>
    <v>0</v>
  </rv>
  <rv s="0">
    <fb>165.84</fb>
    <v>0</v>
  </rv>
  <rv s="0">
    <fb>132.65</fb>
    <v>0</v>
  </rv>
  <rv s="0">
    <fb>100.88</fb>
    <v>0</v>
  </rv>
  <rv s="0">
    <fb>72.48</fb>
    <v>0</v>
  </rv>
  <rv s="0">
    <fb>5611.85</fb>
    <v>0</v>
  </rv>
  <rv s="0">
    <fb>373.92</fb>
    <v>0</v>
  </rv>
  <rv s="0">
    <fb>156.31</fb>
    <v>0</v>
  </rv>
  <rv s="0">
    <fb>130.75</fb>
    <v>0</v>
  </rv>
  <rv s="0">
    <fb>102.87</fb>
    <v>0</v>
  </rv>
  <rv s="0">
    <fb>75.489999999999995</fb>
    <v>0</v>
  </rv>
  <rv s="0">
    <fb>5569.06</fb>
    <v>0</v>
  </rv>
  <rv s="0">
    <fb>382.64</fb>
    <v>0</v>
  </rv>
  <rv s="0">
    <fb>155.21</fb>
    <v>0</v>
  </rv>
  <rv s="0">
    <fb>133.58000000000001</fb>
    <v>0</v>
  </rv>
  <rv s="0">
    <fb>105.26</fb>
    <v>0</v>
  </rv>
  <rv s="0">
    <fb>78.22</fb>
    <v>0</v>
  </rv>
  <rv s="0">
    <fb>5911.69</fb>
    <v>0</v>
  </rv>
  <rv s="0">
    <fb>395.63</fb>
    <v>0</v>
  </rv>
  <rv s="0">
    <fb>152.75</fb>
    <v>0</v>
  </rv>
  <rv s="0">
    <fb>136.01</fb>
    <v>0</v>
  </rv>
  <rv s="0">
    <fb>107.41</fb>
    <v>0</v>
  </rv>
  <rv s="0">
    <fb>78.209999999999994</fb>
    <v>0</v>
  </rv>
  <rv s="0">
    <fb>6204.95</fb>
    <v>0</v>
  </rv>
  <rv s="0">
    <fb>392.73</fb>
    <v>0</v>
  </rv>
  <rv s="0">
    <fb>126.19</fb>
    <v>0</v>
  </rv>
  <rv s="0">
    <fb>104.92</fb>
    <v>0</v>
  </rv>
  <rv s="0">
    <fb>79.31</fb>
    <v>0</v>
  </rv>
  <rv s="0">
    <fb>6339.39</fb>
    <v>0</v>
  </rv>
  <rv s="0">
    <fb>391.41</fb>
    <v>0</v>
  </rv>
  <rv s="0">
    <fb>177.17</fb>
    <v>0</v>
  </rv>
  <rv s="0">
    <fb>132.66</fb>
    <v>0</v>
  </rv>
  <rv s="0">
    <fb>105.5</fb>
    <v>0</v>
  </rv>
  <rv s="0">
    <fb>81.34</fb>
    <v>0</v>
  </rv>
  <rv s="0">
    <fb>6460.26</fb>
    <v>0</v>
  </rv>
  <rv s="0">
    <fb>369.67</fb>
    <v>0</v>
  </rv>
  <rv s="0">
    <fb>185.42</fb>
    <v>0</v>
  </rv>
  <rv s="0">
    <fb>133.94</fb>
    <v>0</v>
  </rv>
  <rv s="0">
    <fb>97.63</fb>
    <v>0</v>
  </rv>
  <rv s="0">
    <fb>77.77</fb>
    <v>0</v>
  </rv>
  <rv s="0">
    <fb>6688.46</fb>
    <v>0</v>
  </rv>
  <rv s="0">
    <fb>356.24</fb>
    <v>0</v>
  </rv>
  <rv s="0">
    <fb>188.87</fb>
    <v>0</v>
  </rv>
  <rv s="0">
    <fb>123.62</fb>
    <v>0</v>
  </rv>
  <rv s="0">
    <fb>100.72</fb>
    <v>0</v>
  </rv>
  <rv s="0">
    <fb>82.45</fb>
    <v>0</v>
  </rv>
  <rv s="0">
    <fb>6840.2</fb>
    <v>0</v>
  </rv>
  <rv s="0">
    <fb>371.18</fb>
    <v>0</v>
  </rv>
  <rv s="0">
    <fb>206.92</fb>
    <v>0</v>
  </rv>
  <rv s="0">
    <fb>128.9</fb>
    <v>0</v>
  </rv>
  <rv s="0">
    <fb>101.58</fb>
    <v>0</v>
  </rv>
  <rv s="0">
    <fb>86.67</fb>
    <v>0</v>
  </rv>
  <rv s="0">
    <fb>6849.09</fb>
    <v>0</v>
  </rv>
  <rv s="0">
    <fb>351.47</fb>
    <v>0</v>
  </rv>
  <rv s="0">
    <fb>206.95</fb>
    <v>0</v>
  </rv>
  <rv s="0">
    <fb>125.29</fb>
    <v>0</v>
  </rv>
  <rv s="0">
    <fb>95.35</fb>
    <v>0</v>
  </rv>
  <rv s="0">
    <fb>85.25</fb>
    <v>0</v>
  </rv>
  <rv s="0">
    <fb>6845.5</fb>
    <v>0</v>
  </rv>
  <rv s="0">
    <fb>369.56</fb>
    <v>0</v>
  </rv>
  <rv s="0">
    <fb>227.25</fb>
    <v>0</v>
  </rv>
  <rv s="0">
    <fb>109.3</fb>
    <v>0</v>
  </rv>
  <rv s="0">
    <fb>93.53</fb>
    <v>0</v>
  </rv>
  <rv s="0">
    <fb>81.36</fb>
    <v>0</v>
  </rv>
  <rv s="0">
    <fb>6939.03</fb>
    <v>0</v>
  </rv>
  <rv s="0">
    <fb>387.46</fb>
    <v>0</v>
  </rv>
  <rv s="0">
    <fb>248.43</fb>
    <v>0</v>
  </rv>
  <rv s="0">
    <fb>116.35</fb>
    <v>0</v>
  </rv>
  <rv s="0">
    <fb>76.849999999999994</fb>
    <v>0</v>
  </rv>
  <rv s="0">
    <fb>86.47</fb>
    <v>0</v>
  </rv>
  <rv s="0">
    <fb>6878.88</fb>
    <v>0</v>
  </rv>
  <rv s="0">
    <fb>328.59</fb>
    <v>0</v>
  </rv>
  <rv s="0">
    <fb>244.44</fb>
    <v>0</v>
  </rv>
  <rv s="0">
    <fb>102.67</fb>
    <v>0</v>
  </rv>
  <rv s="0">
    <fb>62.75</fb>
    <v>0</v>
  </rv>
  <rv s="0">
    <fb>80.08</fb>
    <v>0</v>
  </rv>
  <rv s="0">
    <fb>6506.48</fb>
    <v>0</v>
  </rv>
  <rv s="1">
    <v>1</v>
    <v>^TNX</v>
    <v>Monthly</v>
    <v>46143</v>
    <v>46173</v>
    <v>0</v>
    <v>1</v>
    <v>639137088000000000,639138662535523077,0</v>
    <v>0</v>
    <v>a33knm</v>
    <v>TNX</v>
    <v>1</v>
  </rv>
  <rv s="1">
    <v>1</v>
    <v>ABT</v>
    <v>Monthly</v>
    <v>44197</v>
    <v>46112</v>
    <v>0</v>
    <v>1</v>
    <v>639105120000000000,639147280462466474,0</v>
    <v>2</v>
    <v>a1mrar</v>
    <v>XNYS:ABT</v>
    <v>3</v>
  </rv>
  <rv s="1">
    <v>1</v>
    <v>EW</v>
    <v>Monthly</v>
    <v>44197</v>
    <v>46112</v>
    <v>0</v>
    <v>1</v>
    <v>639105120000000000,639147280464039717,0</v>
    <v>2</v>
    <v>a1ser7</v>
    <v>XNYS:EW</v>
    <v>4</v>
  </rv>
  <rv s="1">
    <v>1</v>
    <v>JNJ</v>
    <v>Monthly</v>
    <v>44197</v>
    <v>46112</v>
    <v>0</v>
    <v>1</v>
    <v>639105120000000000,639147280461674268,0</v>
    <v>2</v>
    <v>a1w8ec</v>
    <v>XNYS:JNJ</v>
    <v>5</v>
  </rv>
  <rv s="1">
    <v>1</v>
    <v>SYK</v>
    <v>Monthly</v>
    <v>44197</v>
    <v>46112</v>
    <v>0</v>
    <v>1</v>
    <v>639105120000000000,639147280460875415,0</v>
    <v>2</v>
    <v>a23vdm</v>
    <v>XNYS:SYK</v>
    <v>6</v>
  </rv>
  <rv s="1">
    <v>1</v>
    <v>BSX</v>
    <v>Monthly</v>
    <v>44197</v>
    <v>46112</v>
    <v>0</v>
    <v>1</v>
    <v>639105120000000000,639147280463256216,0</v>
    <v>2</v>
    <v>a1oxur</v>
    <v>XNYS:BSX</v>
    <v>7</v>
  </rv>
  <rv s="1">
    <v>1</v>
    <v>SYK</v>
    <v>Daily</v>
    <v>46157</v>
    <v>46157</v>
    <v>0</v>
    <v>1</v>
    <v>639144000000000000,639147279769155750,0</v>
    <v>0</v>
    <v>a23vdm</v>
    <v>XNYS:SYK</v>
    <v>8</v>
  </rv>
  <rv s="2">
    <v>9</v>
  </rv>
  <rv s="2">
    <v>10</v>
  </rv>
  <rv s="2">
    <v>11</v>
  </rv>
  <rv s="2">
    <v>12</v>
  </rv>
  <rv s="2">
    <v>13</v>
  </rv>
  <rv s="2">
    <v>14</v>
  </rv>
  <rv s="3">
    <v>{C03F08C2-F061-453E-A600-8CD319A33379}</v>
    <v>0</v>
    <v>2</v>
    <v>385</v>
    <v>386</v>
    <v>387</v>
    <v>388</v>
    <v>389</v>
    <v>390</v>
  </rv>
</rvData>
</file>

<file path=xl/richData/rdrichvaluestructure.xml><?xml version="1.0" encoding="utf-8"?>
<rvStructures xmlns="http://schemas.microsoft.com/office/spreadsheetml/2017/richdata" count="4">
  <s t="_formattednumber">
    <k n="_Format" t="spb"/>
  </s>
  <s t="_stockhistorycache">
    <k n="_Format" t="spb"/>
    <k n="Symbol" t="s"/>
    <k n="Interval" t="s"/>
    <k n="StartDate" t="i"/>
    <k n="EndDate" t="i"/>
    <k n="f1904" t="b"/>
    <k n="fdcompat" t="b"/>
    <k n="etag" t="s"/>
    <k n="Date" t="a"/>
    <k n="EntityId" t="s"/>
    <k n="Instrument" t="s"/>
    <k n="Close" t="a"/>
  </s>
  <s t="_array">
    <k n="array" t="a"/>
  </s>
  <s t="_datasourcecontainer">
    <k n="%XLUID" t="s"/>
    <k n="_CRID" t="i"/>
    <k n="_Display" t="spb"/>
    <k n="ABT" t="r"/>
    <k n="BSX" t="r"/>
    <k n="EW" t="r"/>
    <k n="JNJ" t="r"/>
    <k n="S&amp;P 500" t="r"/>
    <k n="SYK" t="r"/>
  </s>
</rvStructures>
</file>

<file path=xl/richData/rdsupportingpropertybag.xml><?xml version="1.0" encoding="utf-8"?>
<supportingPropertyBags xmlns="http://schemas.microsoft.com/office/spreadsheetml/2017/richdata2">
  <spbArrays count="1">
    <a count="9">
      <v t="s">SYK</v>
      <v t="s">JNJ</v>
      <v t="s">ABT</v>
      <v t="s">BSX</v>
      <v t="s">EW</v>
      <v t="s">S&amp;P 500</v>
      <v t="s">_CRID</v>
      <v t="s">%XLUID</v>
      <v t="s">_Display</v>
    </a>
  </spbArrays>
  <spbData count="3">
    <spb s="0">
      <v>1</v>
    </spb>
    <spb s="1">
      <v>2</v>
      <v>1</v>
    </spb>
    <spb s="2">
      <v>0</v>
    </spb>
  </spbData>
</supportingPropertyBags>
</file>

<file path=xl/richData/rdsupportingpropertybagstructure.xml><?xml version="1.0" encoding="utf-8"?>
<spbStructures xmlns="http://schemas.microsoft.com/office/spreadsheetml/2017/richdata2" count="3">
  <s>
    <k n="_Self" t="i"/>
  </s>
  <s>
    <k n="Date" t="i"/>
    <k n="Close"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0" formatCode="General"/>
    </x:dxf>
  </dxfs>
  <richProperties>
    <rPr n="NumberFormat" t="s"/>
  </richProperties>
  <richStyles>
    <rSty dxfid="1">
      <rpv i="0">_([$$-en-US]* #,##0.00_);_([$$-en-US]* (#,##0.00);_([$$-en-US]* "-"??_);_(@_)</rpv>
    </rSty>
    <rSty dxfid="0"/>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F1B9F7-DD02-4125-8FFD-0269623B247D}" sourceName="Year">
  <pivotTables>
    <pivotTable tabId="26" name="PivotTable1"/>
  </pivotTables>
  <data>
    <tabular pivotCacheId="96638435">
      <items count="9">
        <i x="0" s="1"/>
        <i x="1" s="1"/>
        <i x="2" s="1"/>
        <i x="3" s="1"/>
        <i x="4" s="1"/>
        <i x="5" s="1"/>
        <i x="6" s="1"/>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304A51-4F33-4EB2-9CEF-5C23813D429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BACFBD-2B5C-4595-A84E-38CFC53CC07E}" name="Table6" displayName="Table6" ref="D4:E14" headerRowCount="0" headerRowDxfId="28">
  <tableColumns count="2">
    <tableColumn id="1" xr3:uid="{A5CD43EC-E02A-4336-94DF-5ED1D19D7BC3}" name="Column1" totalsRowLabel="Total" headerRowDxfId="27" dataDxfId="26" totalsRowDxfId="25"/>
    <tableColumn id="2" xr3:uid="{381CFC7B-7377-441D-8F67-582B4F2954F5}" name="Column2" totalsRowFunction="count" headerRowDxfId="24" dataDxfId="23" totalsRowDxfId="22" dataCellStyle="Hyperlink"/>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90AF2-9ADE-44BB-A69E-DFFC7DD5FEBF}" name="Table1" displayName="Table1" ref="A1:P10" totalsRowShown="0" dataDxfId="20">
  <tableColumns count="16">
    <tableColumn id="1" xr3:uid="{4E9D0138-9730-4EEA-90BC-51924A21F1A0}" name="Year" dataDxfId="19"/>
    <tableColumn id="2" xr3:uid="{011948BB-7F2E-4EF5-9DC2-42D6B3245FBE}" name="Revenue Adj ($M)" dataDxfId="18"/>
    <tableColumn id="3" xr3:uid="{AA1AE2AF-E6D9-4484-8853-715A772EDABA}" name="YoY Growth %" dataDxfId="17"/>
    <tableColumn id="4" xr3:uid="{982BD5BB-49CD-49C4-98C1-8C656A3C19D1}" name="Gross Margin %" dataDxfId="16"/>
    <tableColumn id="5" xr3:uid="{3BF622F6-DE6C-48E1-ADF1-0492C3BF2EFA}" name="EBITDA Adj ($M)" dataDxfId="15"/>
    <tableColumn id="6" xr3:uid="{A694B204-404C-4183-949B-8B532F212AC6}" name="EBITDA Margin %" dataDxfId="14"/>
    <tableColumn id="7" xr3:uid="{F451D7A3-B7F0-4B62-95A2-2A35DD8CB3C2}" name="EBIT ($M)" dataDxfId="13"/>
    <tableColumn id="8" xr3:uid="{BFB7F709-46DA-4896-A452-D31D34D6D42A}" name="Net Income Adj ($M)" dataDxfId="12"/>
    <tableColumn id="9" xr3:uid="{C7A9DBEF-4778-4A44-BCA3-E1EFAFAB005A}" name="Adj EPS" dataDxfId="11"/>
    <tableColumn id="10" xr3:uid="{99E3F74C-5904-4D6D-AD36-D0CB9572CAA4}" name="FCF ($M)" dataDxfId="10"/>
    <tableColumn id="11" xr3:uid="{EAE70431-9A8B-402C-B3EA-0B8DC70B3FAD}" name="EV ($M)" dataDxfId="9"/>
    <tableColumn id="12" xr3:uid="{5F2A9E23-F1F1-41CB-9A78-BB2E53E3DC1C}" name="Net Debt ($M)" dataDxfId="8">
      <calculatedColumnFormula>_xlfn.XLOOKUP("*"&amp;RIGHT(A2,4)&amp;"*", SYK!$E$3:$N$3, SYK!$E$31:$N$31,,2)</calculatedColumnFormula>
    </tableColumn>
    <tableColumn id="13" xr3:uid="{94D71E00-0F34-41BA-A241-99FBD58785F5}" name="Equity ($M)" dataDxfId="7"/>
    <tableColumn id="14" xr3:uid="{C8736C67-41BD-49EE-B20F-87C8380B9D9B}" name="MedSurg % of Rev" dataDxfId="6"/>
    <tableColumn id="15" xr3:uid="{1A2356F7-586A-47D0-8FEF-F8DB436C0CEF}" name="Ortho % of Rev" dataDxfId="5"/>
    <tableColumn id="16" xr3:uid="{EBAC3815-43BD-41F1-9B21-38C528E61FCE}" name="Rule of 40" dataDxfId="4">
      <calculatedColumnFormula>SUM(C2,F2)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8162-EB2B-43A2-B364-1309DA32C779}">
  <sheetPr codeName="Sheet1"/>
  <dimension ref="A1:H15"/>
  <sheetViews>
    <sheetView zoomScale="98" zoomScaleNormal="98" workbookViewId="0">
      <pane ySplit="1" topLeftCell="A2" activePane="bottomLeft" state="frozen"/>
      <selection pane="bottomLeft" activeCell="C34" sqref="C34"/>
    </sheetView>
  </sheetViews>
  <sheetFormatPr defaultRowHeight="15" x14ac:dyDescent="0.25"/>
  <cols>
    <col min="1" max="1" width="20.28515625" customWidth="1"/>
    <col min="4" max="4" width="2" customWidth="1"/>
    <col min="5" max="5" width="34.5703125" bestFit="1" customWidth="1"/>
    <col min="7" max="7" width="19.28515625" customWidth="1"/>
  </cols>
  <sheetData>
    <row r="1" spans="1:8" ht="27" thickTop="1" thickBot="1" x14ac:dyDescent="0.4">
      <c r="A1" s="99" t="s">
        <v>2138</v>
      </c>
      <c r="B1" s="100"/>
      <c r="C1" s="100"/>
      <c r="D1" s="100"/>
      <c r="E1" s="100"/>
      <c r="F1" s="100"/>
      <c r="G1" s="101"/>
    </row>
    <row r="2" spans="1:8" ht="15.75" thickTop="1" x14ac:dyDescent="0.25">
      <c r="A2" s="80" t="s">
        <v>2139</v>
      </c>
    </row>
    <row r="3" spans="1:8" ht="16.5" thickBot="1" x14ac:dyDescent="0.3">
      <c r="A3" s="81" t="s">
        <v>2147</v>
      </c>
      <c r="F3" s="86"/>
    </row>
    <row r="4" spans="1:8" ht="31.5" thickTop="1" thickBot="1" x14ac:dyDescent="0.3">
      <c r="A4" s="87" t="s">
        <v>2148</v>
      </c>
      <c r="D4" s="69"/>
      <c r="E4" s="89" t="s">
        <v>2141</v>
      </c>
      <c r="F4" s="83"/>
      <c r="G4" s="85"/>
      <c r="H4" s="85"/>
    </row>
    <row r="5" spans="1:8" ht="16.5" thickTop="1" thickBot="1" x14ac:dyDescent="0.3">
      <c r="A5" s="82" t="s">
        <v>2140</v>
      </c>
      <c r="D5" s="69">
        <v>1</v>
      </c>
      <c r="E5" s="79" t="str">
        <f>HYPERLINK("#'DCF Dashboard'!A2", "DCF Dashboard")</f>
        <v>DCF Dashboard</v>
      </c>
      <c r="G5" s="83"/>
      <c r="H5" s="85"/>
    </row>
    <row r="6" spans="1:8" ht="15.75" thickTop="1" x14ac:dyDescent="0.25">
      <c r="D6" s="69">
        <v>2</v>
      </c>
      <c r="E6" s="79" t="str">
        <f>HYPERLINK("#'WACC Dashboard'!A1", "WACC Dashboard")</f>
        <v>WACC Dashboard</v>
      </c>
      <c r="F6" s="83"/>
      <c r="G6" s="90"/>
      <c r="H6" s="85"/>
    </row>
    <row r="7" spans="1:8" x14ac:dyDescent="0.25">
      <c r="D7" s="69">
        <v>3</v>
      </c>
      <c r="E7" s="79" t="str">
        <f>HYPERLINK("#'WACC PivotTable'!A1", "Stock Price Movement")</f>
        <v>Stock Price Movement</v>
      </c>
      <c r="F7" s="83"/>
      <c r="G7" s="83"/>
      <c r="H7" s="85"/>
    </row>
    <row r="8" spans="1:8" x14ac:dyDescent="0.25">
      <c r="D8" s="69">
        <v>4</v>
      </c>
      <c r="E8" s="79" t="str">
        <f>HYPERLINK("#'Master Data'!A1", "Master Data")</f>
        <v>Master Data</v>
      </c>
      <c r="F8" s="84"/>
      <c r="G8" s="85"/>
      <c r="H8" s="85"/>
    </row>
    <row r="9" spans="1:8" x14ac:dyDescent="0.25">
      <c r="D9" s="69">
        <v>5</v>
      </c>
      <c r="E9" s="79" t="str">
        <f>HYPERLINK("#'SYK'!A1", "Stryker Corporation Overview")</f>
        <v>Stryker Corporation Overview</v>
      </c>
      <c r="F9" s="83"/>
      <c r="G9" s="83"/>
      <c r="H9" s="85"/>
    </row>
    <row r="10" spans="1:8" x14ac:dyDescent="0.25">
      <c r="D10" s="69"/>
      <c r="E10" s="88" t="s">
        <v>2146</v>
      </c>
      <c r="F10" s="83"/>
      <c r="G10" s="83"/>
      <c r="H10" s="85"/>
    </row>
    <row r="11" spans="1:8" x14ac:dyDescent="0.25">
      <c r="D11" s="69">
        <v>6</v>
      </c>
      <c r="E11" s="79" t="str">
        <f>HYPERLINK("#'JNJ'!A1", "Johnson &amp; Johnson OV")</f>
        <v>Johnson &amp; Johnson OV</v>
      </c>
      <c r="F11" s="83"/>
      <c r="G11" s="83"/>
      <c r="H11" s="83"/>
    </row>
    <row r="12" spans="1:8" x14ac:dyDescent="0.25">
      <c r="D12" s="69">
        <v>7</v>
      </c>
      <c r="E12" s="79" t="str">
        <f>HYPERLINK("#'ABBOTT'!A1","Abbott Laboratories OV")</f>
        <v>Abbott Laboratories OV</v>
      </c>
      <c r="F12" s="83"/>
      <c r="G12" s="83"/>
      <c r="H12" s="83"/>
    </row>
    <row r="13" spans="1:8" x14ac:dyDescent="0.25">
      <c r="D13" s="69">
        <v>8</v>
      </c>
      <c r="E13" s="79" t="str">
        <f>HYPERLINK("#'BSX'!A1","Boston Scientific Corporation OV")</f>
        <v>Boston Scientific Corporation OV</v>
      </c>
    </row>
    <row r="14" spans="1:8" x14ac:dyDescent="0.25">
      <c r="D14" s="69">
        <v>9</v>
      </c>
      <c r="E14" s="79" t="str">
        <f>HYPERLINK("#'EDW'!A1","Edwards Lifesciences Corporation OV")</f>
        <v>Edwards Lifesciences Corporation OV</v>
      </c>
    </row>
    <row r="15" spans="1:8" x14ac:dyDescent="0.25">
      <c r="D15" s="69"/>
    </row>
  </sheetData>
  <mergeCells count="1">
    <mergeCell ref="A1:G1"/>
  </mergeCells>
  <pageMargins left="0.7" right="0.7" top="0.75" bottom="0.75" header="0.3" footer="0.3"/>
  <pageSetup orientation="portrait" r:id="rId1"/>
  <headerFooter>
    <oddHeader>&amp;C&amp;G</oddHead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8ACE-2F04-4281-8B97-39933DC916DB}">
  <sheetPr codeName="Sheet2">
    <tabColor theme="7" tint="-0.249977111117893"/>
  </sheetPr>
  <dimension ref="A1:O32"/>
  <sheetViews>
    <sheetView workbookViewId="0">
      <selection activeCell="G11" sqref="G11"/>
    </sheetView>
  </sheetViews>
  <sheetFormatPr defaultRowHeight="15" x14ac:dyDescent="0.25"/>
  <cols>
    <col min="1" max="1" width="14.42578125" bestFit="1" customWidth="1"/>
    <col min="2" max="2" width="15.85546875" bestFit="1" customWidth="1"/>
    <col min="3" max="3" width="10.5703125" bestFit="1" customWidth="1"/>
    <col min="4" max="4" width="12.5703125" bestFit="1" customWidth="1"/>
    <col min="5" max="5" width="14" bestFit="1" customWidth="1"/>
    <col min="6" max="6" width="15.42578125" bestFit="1" customWidth="1"/>
    <col min="7" max="7" width="18.28515625" bestFit="1" customWidth="1"/>
    <col min="8" max="9" width="9.5703125" bestFit="1" customWidth="1"/>
    <col min="11" max="11" width="13.140625" bestFit="1" customWidth="1"/>
    <col min="12" max="12" width="17" bestFit="1" customWidth="1"/>
    <col min="13" max="14" width="13.28515625" bestFit="1" customWidth="1"/>
  </cols>
  <sheetData>
    <row r="1" spans="1:15" ht="15.75" thickBot="1" x14ac:dyDescent="0.3">
      <c r="A1" t="s">
        <v>2134</v>
      </c>
      <c r="D1" t="s">
        <v>2194</v>
      </c>
      <c r="G1" s="94">
        <f ca="1">TODAY()</f>
        <v>46160</v>
      </c>
      <c r="H1" s="95">
        <f ca="1">NOW()-TODAY()</f>
        <v>0.63022175926016644</v>
      </c>
      <c r="K1" t="s">
        <v>2165</v>
      </c>
    </row>
    <row r="2" spans="1:15" ht="15.75" thickBot="1" x14ac:dyDescent="0.3">
      <c r="A2" s="46" t="s">
        <v>2110</v>
      </c>
      <c r="B2" t="s">
        <v>1670</v>
      </c>
      <c r="C2" t="s">
        <v>1811</v>
      </c>
      <c r="D2" t="s">
        <v>1485</v>
      </c>
      <c r="E2" t="s">
        <v>2111</v>
      </c>
      <c r="F2" t="s">
        <v>2112</v>
      </c>
      <c r="G2" t="s">
        <v>2113</v>
      </c>
      <c r="H2" t="s">
        <v>2114</v>
      </c>
      <c r="K2" s="91" t="s">
        <v>2156</v>
      </c>
      <c r="L2" s="102" t="str">
        <f>K2 &amp; " Revenue &amp; YoY Growth"</f>
        <v>Bloomberg Revenue &amp; YoY Growth</v>
      </c>
      <c r="M2" s="103"/>
      <c r="N2" s="103"/>
      <c r="O2" s="104"/>
    </row>
    <row r="3" spans="1:15" x14ac:dyDescent="0.25">
      <c r="B3" s="14">
        <f>'BBG Adj Highlights'!I10</f>
        <v>146697.27499999999</v>
      </c>
      <c r="C3" s="49">
        <f>'Master Data'!M9</f>
        <v>9193.285714285721</v>
      </c>
      <c r="D3" s="14">
        <f>'WACC Dashboard'!B2</f>
        <v>134437.29999999999</v>
      </c>
      <c r="E3" s="43">
        <f>SYK!L176</f>
        <v>386.5</v>
      </c>
      <c r="F3" s="14">
        <f>(B3-C3)/E3</f>
        <v>355.76711328774718</v>
      </c>
      <c r="G3" cm="1" vm="1">
        <f t="array" aca="1" ref="G3" ca="1">IFERROR(_xlfn.STOCKHISTORY("SYK",$G$1,,,0,1),IFERROR(_xlfn.STOCKHISTORY("SYK",$G$1-1,,,0,1),IFERROR(_xlfn.STOCKHISTORY("SYK",$G$1-2,,,0,1),IFERROR(_xlfn.STOCKHISTORY("SYK",$G$1-3,,,0,1),0))))</f>
        <v>306.76</v>
      </c>
      <c r="H3" s="15">
        <f ca="1">G3/F3-1</f>
        <v>-0.13775054370500472</v>
      </c>
      <c r="K3" t="str" cm="1">
        <f t="array" ref="K3:M12">IF($K$2="Bloomberg",'Master Data'!A1:C10,'Master Data'!A13:C26)</f>
        <v>Year</v>
      </c>
      <c r="L3" t="str">
        <v>Revenue Adj ($M)</v>
      </c>
      <c r="M3" t="str">
        <v>YoY Growth %</v>
      </c>
    </row>
    <row r="4" spans="1:15" x14ac:dyDescent="0.25">
      <c r="F4" s="106" t="s">
        <v>2116</v>
      </c>
      <c r="G4" s="106"/>
      <c r="H4" s="106"/>
      <c r="I4" s="50"/>
      <c r="K4" t="str">
        <v>FY 2019</v>
      </c>
      <c r="L4">
        <v>14884</v>
      </c>
      <c r="M4">
        <v>9.4330999999999998E-2</v>
      </c>
    </row>
    <row r="5" spans="1:15" x14ac:dyDescent="0.25">
      <c r="K5" t="str">
        <v>FY 2020</v>
      </c>
      <c r="L5">
        <v>14351</v>
      </c>
      <c r="M5">
        <v>-3.5810000000000002E-2</v>
      </c>
    </row>
    <row r="6" spans="1:15" x14ac:dyDescent="0.25">
      <c r="B6" t="s">
        <v>1670</v>
      </c>
      <c r="C6" t="s">
        <v>1811</v>
      </c>
      <c r="D6" s="15" t="s">
        <v>1485</v>
      </c>
      <c r="E6" t="s">
        <v>2111</v>
      </c>
      <c r="F6" t="s">
        <v>2112</v>
      </c>
      <c r="G6" t="s">
        <v>2113</v>
      </c>
      <c r="H6" t="s">
        <v>2114</v>
      </c>
      <c r="K6" t="str">
        <v>FY 2021</v>
      </c>
      <c r="L6">
        <v>17108</v>
      </c>
      <c r="M6">
        <v>0.192112</v>
      </c>
    </row>
    <row r="7" spans="1:15" x14ac:dyDescent="0.25">
      <c r="B7" s="14">
        <f ca="1">'Master Data'!L39</f>
        <v>91461.070688773601</v>
      </c>
      <c r="C7" s="14">
        <f>'Master Data'!M21</f>
        <v>9193.285714285721</v>
      </c>
      <c r="D7" s="14">
        <f ca="1">'Master Data'!N39</f>
        <v>82267.784974487877</v>
      </c>
      <c r="E7" s="17">
        <v>386.5</v>
      </c>
      <c r="F7" s="14">
        <f ca="1">(B7-C7)/E7</f>
        <v>212.85325995986514</v>
      </c>
      <c r="G7" cm="1" vm="1">
        <f t="array" aca="1" ref="G7" ca="1">IFERROR(_xlfn.STOCKHISTORY("SYK",$G$1,,,0,1),IFERROR(_xlfn.STOCKHISTORY("SYK",$G$1-1,,,0,1),IFERROR(_xlfn.STOCKHISTORY("SYK",$G$1-2,,,0,1),IFERROR(_xlfn.STOCKHISTORY("SYK",$G$1-3,,,0,1),0))))</f>
        <v>306.76</v>
      </c>
      <c r="H7" s="15">
        <f ca="1">G7/F7-1</f>
        <v>0.44118065214430624</v>
      </c>
      <c r="K7" t="str">
        <v>FY 2022</v>
      </c>
      <c r="L7">
        <v>18449</v>
      </c>
      <c r="M7">
        <v>7.8383999999999995E-2</v>
      </c>
    </row>
    <row r="8" spans="1:15" x14ac:dyDescent="0.25">
      <c r="F8" s="107" t="s">
        <v>2124</v>
      </c>
      <c r="G8" s="107"/>
      <c r="H8" s="107"/>
      <c r="K8" t="str">
        <v>FY 2023</v>
      </c>
      <c r="L8">
        <v>20498</v>
      </c>
      <c r="M8">
        <v>0.111063</v>
      </c>
    </row>
    <row r="9" spans="1:15" x14ac:dyDescent="0.25">
      <c r="A9" t="s">
        <v>2131</v>
      </c>
      <c r="K9" t="str">
        <v>FY 2024</v>
      </c>
      <c r="L9">
        <v>22595</v>
      </c>
      <c r="M9">
        <v>0.10230299999999999</v>
      </c>
    </row>
    <row r="10" spans="1:15" x14ac:dyDescent="0.25">
      <c r="A10" s="46" t="s">
        <v>2110</v>
      </c>
      <c r="B10" t="s">
        <v>1670</v>
      </c>
      <c r="C10" t="s">
        <v>1811</v>
      </c>
      <c r="D10" s="15" t="s">
        <v>1485</v>
      </c>
      <c r="E10" t="s">
        <v>2111</v>
      </c>
      <c r="F10" t="s">
        <v>2112</v>
      </c>
      <c r="G10" t="s">
        <v>2113</v>
      </c>
      <c r="H10" t="s">
        <v>2114</v>
      </c>
      <c r="K10" t="str">
        <v>FY 2025</v>
      </c>
      <c r="L10">
        <v>25116</v>
      </c>
      <c r="M10">
        <v>0.11157299999999999</v>
      </c>
    </row>
    <row r="11" spans="1:15" x14ac:dyDescent="0.25">
      <c r="B11" s="14">
        <f ca="1">'Master Data'!L40</f>
        <v>94204.902809436811</v>
      </c>
      <c r="C11" s="14">
        <f>'Master Data'!M22</f>
        <v>5874.5714285714303</v>
      </c>
      <c r="D11" s="14">
        <f ca="1">'Master Data'!N40</f>
        <v>85011.617095151087</v>
      </c>
      <c r="E11" s="17">
        <v>386.5</v>
      </c>
      <c r="F11" s="14">
        <f ca="1">(B11-C11)/E11</f>
        <v>228.53902039033733</v>
      </c>
      <c r="G11" cm="1" vm="1">
        <f t="array" aca="1" ref="G11" ca="1">IFERROR(_xlfn.STOCKHISTORY("SYK",$G$1,,,0,1),IFERROR(_xlfn.STOCKHISTORY("SYK",$G$1-1,,,0,1),IFERROR(_xlfn.STOCKHISTORY("SYK",$G$1-2,,,0,1),IFERROR(_xlfn.STOCKHISTORY("SYK",$G$1-3,,,0,1),0))))</f>
        <v>306.76</v>
      </c>
      <c r="H11" s="15">
        <f ca="1">G11/F11-1</f>
        <v>0.34226531415100903</v>
      </c>
      <c r="K11" t="str">
        <v>FY 2026</v>
      </c>
      <c r="L11">
        <v>27317.214285714301</v>
      </c>
      <c r="M11">
        <v>8.7641912952471993E-2</v>
      </c>
    </row>
    <row r="12" spans="1:15" x14ac:dyDescent="0.25">
      <c r="F12" s="107" t="s">
        <v>2125</v>
      </c>
      <c r="G12" s="107"/>
      <c r="H12" s="107"/>
      <c r="K12" t="str">
        <v>FY 2027</v>
      </c>
      <c r="L12">
        <v>29602.892857142899</v>
      </c>
      <c r="M12">
        <v>8.3671729757008192E-2</v>
      </c>
    </row>
    <row r="15" spans="1:15" x14ac:dyDescent="0.25">
      <c r="A15" t="s">
        <v>2132</v>
      </c>
    </row>
    <row r="16" spans="1:15" x14ac:dyDescent="0.25">
      <c r="A16" s="46" t="s">
        <v>2110</v>
      </c>
      <c r="B16" t="s">
        <v>1670</v>
      </c>
      <c r="C16" t="s">
        <v>1811</v>
      </c>
      <c r="D16" s="15" t="s">
        <v>1485</v>
      </c>
      <c r="E16" t="s">
        <v>2111</v>
      </c>
      <c r="F16" t="s">
        <v>2112</v>
      </c>
      <c r="G16" t="s">
        <v>2113</v>
      </c>
      <c r="H16" t="s">
        <v>2114</v>
      </c>
    </row>
    <row r="17" spans="1:8" x14ac:dyDescent="0.25">
      <c r="B17" s="14">
        <f ca="1">'Master Data'!L33</f>
        <v>118366.11610509313</v>
      </c>
      <c r="C17" s="14">
        <f>'Master Data'!M21</f>
        <v>9193.285714285721</v>
      </c>
      <c r="D17" s="14">
        <f ca="1">B17-C17</f>
        <v>109172.8303908074</v>
      </c>
      <c r="E17" s="17">
        <v>386.5</v>
      </c>
      <c r="F17" s="14">
        <f ca="1">(B17-C17)/E17</f>
        <v>282.46527914827271</v>
      </c>
      <c r="G17" vm="1">
        <f ca="1">INDEX(F2:H17,2,2)</f>
        <v>306.76</v>
      </c>
      <c r="H17" s="15">
        <f ca="1">G17/F17-1</f>
        <v>8.6009582929923223E-2</v>
      </c>
    </row>
    <row r="18" spans="1:8" x14ac:dyDescent="0.25">
      <c r="F18" s="105" t="s">
        <v>2133</v>
      </c>
      <c r="G18" s="105"/>
      <c r="H18" s="105"/>
    </row>
    <row r="20" spans="1:8" x14ac:dyDescent="0.25">
      <c r="A20" t="s">
        <v>2177</v>
      </c>
    </row>
    <row r="21" spans="1:8" x14ac:dyDescent="0.25">
      <c r="A21" t="s">
        <v>2176</v>
      </c>
    </row>
    <row r="22" spans="1:8" x14ac:dyDescent="0.25">
      <c r="A22" s="14">
        <f ca="1">F17</f>
        <v>282.46527914827271</v>
      </c>
      <c r="B22" s="15">
        <v>0.02</v>
      </c>
      <c r="C22" s="15">
        <v>2.5000000000000001E-2</v>
      </c>
      <c r="D22" s="15">
        <v>0.03</v>
      </c>
      <c r="E22" s="15">
        <v>3.5000000000000003E-2</v>
      </c>
      <c r="F22" s="15">
        <v>0.04</v>
      </c>
      <c r="G22" s="15">
        <v>4.4999999999999998E-2</v>
      </c>
    </row>
    <row r="23" spans="1:8" x14ac:dyDescent="0.25">
      <c r="A23" s="15">
        <v>7.4999999999999997E-2</v>
      </c>
      <c r="B23" s="14">
        <f t="dataTable" ref="B23:G29" dt2D="1" dtr="1" r1="C32" r2="C31"/>
        <v>243.68154577808147</v>
      </c>
      <c r="C23" s="14">
        <v>259.86489439287016</v>
      </c>
      <c r="D23" s="14">
        <v>278.85892759476604</v>
      </c>
      <c r="E23" s="14">
        <v>301.4655073883398</v>
      </c>
      <c r="F23" s="14">
        <v>328.82356865647074</v>
      </c>
      <c r="G23" s="14">
        <v>362.60703427553381</v>
      </c>
    </row>
    <row r="24" spans="1:8" x14ac:dyDescent="0.25">
      <c r="A24" s="15">
        <v>0.08</v>
      </c>
      <c r="B24" s="14">
        <v>244.95012923772623</v>
      </c>
      <c r="C24" s="14">
        <v>261.20939344974613</v>
      </c>
      <c r="D24" s="14">
        <v>280.29252708497467</v>
      </c>
      <c r="E24" s="14">
        <v>303.0051536583116</v>
      </c>
      <c r="F24" s="14">
        <v>330.49155076160821</v>
      </c>
      <c r="G24" s="14">
        <v>364.43349359265363</v>
      </c>
    </row>
    <row r="25" spans="1:8" x14ac:dyDescent="0.25">
      <c r="A25" s="15">
        <v>8.5000000000000006E-2</v>
      </c>
      <c r="B25" s="14">
        <v>246.21871269737085</v>
      </c>
      <c r="C25" s="14">
        <v>262.55389250662188</v>
      </c>
      <c r="D25" s="14">
        <v>281.72612657518312</v>
      </c>
      <c r="E25" s="14">
        <v>304.54479992828317</v>
      </c>
      <c r="F25" s="14">
        <v>332.15953286674551</v>
      </c>
      <c r="G25" s="14">
        <v>366.25995290977318</v>
      </c>
    </row>
    <row r="26" spans="1:8" x14ac:dyDescent="0.25">
      <c r="A26" s="15">
        <v>8.7599999999999997E-2</v>
      </c>
      <c r="B26" s="14">
        <v>246.87837609638595</v>
      </c>
      <c r="C26" s="14">
        <v>263.25303201619715</v>
      </c>
      <c r="D26" s="97">
        <v>282.47159831009139</v>
      </c>
      <c r="E26" s="14">
        <v>305.34541598866826</v>
      </c>
      <c r="F26" s="14">
        <v>333.02688356141675</v>
      </c>
      <c r="G26" s="14">
        <v>367.20971175467525</v>
      </c>
    </row>
    <row r="27" spans="1:8" x14ac:dyDescent="0.25">
      <c r="A27" s="15">
        <v>0.09</v>
      </c>
      <c r="B27" s="14">
        <v>247.48729615701544</v>
      </c>
      <c r="C27" s="14">
        <v>263.89839156349768</v>
      </c>
      <c r="D27" s="14">
        <v>283.15972606539145</v>
      </c>
      <c r="E27" s="14">
        <v>306.08444619825474</v>
      </c>
      <c r="F27" s="14">
        <v>333.82751497188281</v>
      </c>
      <c r="G27" s="14">
        <v>368.08641222689278</v>
      </c>
    </row>
    <row r="28" spans="1:8" x14ac:dyDescent="0.25">
      <c r="A28" s="15">
        <v>9.5000000000000001E-2</v>
      </c>
      <c r="B28" s="14">
        <v>248.75587961666008</v>
      </c>
      <c r="C28" s="14">
        <v>265.24289062037349</v>
      </c>
      <c r="D28" s="14">
        <v>284.59332555559985</v>
      </c>
      <c r="E28" s="14">
        <v>307.62409246822631</v>
      </c>
      <c r="F28" s="14">
        <v>335.4954970770201</v>
      </c>
      <c r="G28" s="14">
        <v>369.91287154401238</v>
      </c>
    </row>
    <row r="29" spans="1:8" x14ac:dyDescent="0.25">
      <c r="A29" s="63">
        <v>0.1</v>
      </c>
      <c r="B29" s="14">
        <v>250.02446307630481</v>
      </c>
      <c r="C29" s="14">
        <v>266.58738967724929</v>
      </c>
      <c r="D29" s="14">
        <v>286.0269250458083</v>
      </c>
      <c r="E29" s="14">
        <v>309.16373873819788</v>
      </c>
      <c r="F29" s="14">
        <v>337.1634791821574</v>
      </c>
      <c r="G29" s="14">
        <v>371.73933086113198</v>
      </c>
    </row>
    <row r="31" spans="1:8" x14ac:dyDescent="0.25">
      <c r="B31" t="s">
        <v>1497</v>
      </c>
      <c r="C31" s="15">
        <v>8.7577960504792857E-2</v>
      </c>
    </row>
    <row r="32" spans="1:8" x14ac:dyDescent="0.25">
      <c r="B32" t="s">
        <v>2175</v>
      </c>
      <c r="C32" s="15">
        <v>0.03</v>
      </c>
    </row>
  </sheetData>
  <mergeCells count="5">
    <mergeCell ref="L2:O2"/>
    <mergeCell ref="F18:H18"/>
    <mergeCell ref="F4:H4"/>
    <mergeCell ref="F8:H8"/>
    <mergeCell ref="F12:H12"/>
  </mergeCells>
  <conditionalFormatting sqref="B23:G29">
    <cfRule type="colorScale" priority="1">
      <colorScale>
        <cfvo type="min"/>
        <cfvo type="percentile" val="50"/>
        <cfvo type="max"/>
        <color rgb="FF63BE7B"/>
        <color rgb="FFFCFCFF"/>
        <color rgb="FFF8696B"/>
      </colorScale>
    </cfRule>
  </conditionalFormatting>
  <conditionalFormatting sqref="H7 H3 H11 H17">
    <cfRule type="colorScale" priority="2">
      <colorScale>
        <cfvo type="min"/>
        <cfvo type="num" val="0"/>
        <cfvo type="max"/>
        <color rgb="FFFF8181"/>
        <color theme="6" tint="0.59999389629810485"/>
        <color rgb="FF63BE7B"/>
      </colorScale>
    </cfRule>
  </conditionalFormatting>
  <dataValidations count="2">
    <dataValidation type="list" allowBlank="1" showInputMessage="1" showErrorMessage="1" sqref="K2" xr:uid="{F9D6CA86-E242-41B8-96E3-B198FD12FC5F}">
      <formula1>"Bloomberg, Personal"</formula1>
    </dataValidation>
    <dataValidation type="time" allowBlank="1" showInputMessage="1" showErrorMessage="1" sqref="H1" xr:uid="{F4F6E71E-6CA5-439E-B0ED-DCF8A0A2C437}">
      <formula1>0.375</formula1>
      <formula2>0.666666666666667</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33B9-5326-456E-AEEC-FEC428B80365}">
  <sheetPr codeName="Sheet3">
    <tabColor theme="7" tint="0.59999389629810485"/>
  </sheetPr>
  <dimension ref="A3:E39"/>
  <sheetViews>
    <sheetView workbookViewId="0">
      <selection activeCell="A32" sqref="A32"/>
    </sheetView>
  </sheetViews>
  <sheetFormatPr defaultRowHeight="15" x14ac:dyDescent="0.25"/>
  <cols>
    <col min="1" max="1" width="13.140625" bestFit="1" customWidth="1"/>
    <col min="2" max="2" width="26.5703125" bestFit="1" customWidth="1"/>
    <col min="3" max="3" width="24" bestFit="1" customWidth="1"/>
    <col min="4" max="4" width="18.5703125" bestFit="1" customWidth="1"/>
    <col min="5" max="5" width="17.85546875" bestFit="1" customWidth="1"/>
    <col min="6" max="9" width="7.140625" bestFit="1" customWidth="1"/>
    <col min="10" max="10" width="11.28515625" bestFit="1" customWidth="1"/>
    <col min="11" max="11" width="12.7109375" bestFit="1" customWidth="1"/>
  </cols>
  <sheetData>
    <row r="3" spans="1:5" x14ac:dyDescent="0.25">
      <c r="A3" s="77" t="s">
        <v>2137</v>
      </c>
      <c r="B3" t="s">
        <v>2159</v>
      </c>
      <c r="C3" t="s">
        <v>2160</v>
      </c>
    </row>
    <row r="4" spans="1:5" x14ac:dyDescent="0.25">
      <c r="A4" s="85" t="s">
        <v>1697</v>
      </c>
      <c r="B4" s="15">
        <v>0.44654363649731638</v>
      </c>
      <c r="C4" s="15">
        <v>0.55345636350268368</v>
      </c>
    </row>
    <row r="5" spans="1:5" x14ac:dyDescent="0.25">
      <c r="A5" s="85" t="s">
        <v>1696</v>
      </c>
      <c r="B5" s="15">
        <v>0.56940338618650899</v>
      </c>
      <c r="C5" s="15">
        <v>0.43059661381349101</v>
      </c>
    </row>
    <row r="6" spans="1:5" x14ac:dyDescent="0.25">
      <c r="A6" s="85" t="s">
        <v>1695</v>
      </c>
      <c r="B6" s="15">
        <v>0.58149257891436135</v>
      </c>
      <c r="C6" s="15">
        <v>0.41850742108563865</v>
      </c>
    </row>
    <row r="7" spans="1:5" x14ac:dyDescent="0.25">
      <c r="A7" s="85" t="s">
        <v>1694</v>
      </c>
      <c r="B7" s="15">
        <v>0.55751695113397237</v>
      </c>
      <c r="C7" s="15">
        <v>0.44248304886602763</v>
      </c>
    </row>
    <row r="8" spans="1:5" x14ac:dyDescent="0.25">
      <c r="A8" s="85" t="s">
        <v>1693</v>
      </c>
      <c r="B8" s="15">
        <v>0.59043850615209492</v>
      </c>
      <c r="C8" s="15">
        <v>0.40956149384790508</v>
      </c>
    </row>
    <row r="9" spans="1:5" x14ac:dyDescent="0.25">
      <c r="A9" s="85" t="s">
        <v>1692</v>
      </c>
      <c r="B9" s="15">
        <v>0.59337496341106455</v>
      </c>
      <c r="C9" s="15">
        <v>0.40662503658893551</v>
      </c>
    </row>
    <row r="10" spans="1:5" x14ac:dyDescent="0.25">
      <c r="A10" s="85" t="s">
        <v>1691</v>
      </c>
      <c r="B10" s="15">
        <v>0.59827395441469344</v>
      </c>
      <c r="C10" s="15">
        <v>0.4017260455853065</v>
      </c>
    </row>
    <row r="15" spans="1:5" x14ac:dyDescent="0.25">
      <c r="A15" s="77" t="s">
        <v>2137</v>
      </c>
      <c r="B15" t="s">
        <v>2157</v>
      </c>
      <c r="C15" t="s">
        <v>2158</v>
      </c>
      <c r="D15" t="s">
        <v>2161</v>
      </c>
      <c r="E15" t="s">
        <v>2162</v>
      </c>
    </row>
    <row r="16" spans="1:5" x14ac:dyDescent="0.25">
      <c r="A16" s="85" t="s">
        <v>1697</v>
      </c>
      <c r="B16" s="15">
        <v>0.29259607632356899</v>
      </c>
      <c r="C16" s="15">
        <v>9.4330999999999998E-2</v>
      </c>
      <c r="D16" s="15">
        <v>4.3603869927438851E-2</v>
      </c>
      <c r="E16" s="15">
        <v>0.44732598763773179</v>
      </c>
    </row>
    <row r="17" spans="1:5" x14ac:dyDescent="0.25">
      <c r="A17" s="85" t="s">
        <v>1696</v>
      </c>
      <c r="B17" s="15">
        <v>0.27656609295519502</v>
      </c>
      <c r="C17" s="15">
        <v>-3.5810000000000002E-2</v>
      </c>
      <c r="D17" s="15">
        <v>3.3934917427356978E-2</v>
      </c>
      <c r="E17" s="15">
        <v>0.32513413699393773</v>
      </c>
    </row>
    <row r="18" spans="1:5" x14ac:dyDescent="0.25">
      <c r="A18" s="85" t="s">
        <v>1695</v>
      </c>
      <c r="B18" s="15">
        <v>0.28559738134206197</v>
      </c>
      <c r="C18" s="15">
        <v>0.192112</v>
      </c>
      <c r="D18" s="15">
        <v>3.0687397708674305E-2</v>
      </c>
      <c r="E18" s="15">
        <v>0.31961655365910685</v>
      </c>
    </row>
    <row r="19" spans="1:5" x14ac:dyDescent="0.25">
      <c r="A19" s="85" t="s">
        <v>1694</v>
      </c>
      <c r="B19" s="15">
        <v>0.265813865250149</v>
      </c>
      <c r="C19" s="15">
        <v>7.8383999999999995E-2</v>
      </c>
      <c r="D19" s="15">
        <v>3.187164615968345E-2</v>
      </c>
      <c r="E19" s="15">
        <v>0.21529622201745352</v>
      </c>
    </row>
    <row r="20" spans="1:5" x14ac:dyDescent="0.25">
      <c r="A20" s="85" t="s">
        <v>1693</v>
      </c>
      <c r="B20" s="15">
        <v>0.26929456532344598</v>
      </c>
      <c r="C20" s="15">
        <v>0.111063</v>
      </c>
      <c r="D20" s="15">
        <v>2.8051517221192316E-2</v>
      </c>
      <c r="E20" s="15">
        <v>0.22426578202751488</v>
      </c>
    </row>
    <row r="21" spans="1:5" x14ac:dyDescent="0.25">
      <c r="A21" s="85" t="s">
        <v>1692</v>
      </c>
      <c r="B21" s="15">
        <v>0.28023899092719601</v>
      </c>
      <c r="C21" s="15">
        <v>0.10230299999999999</v>
      </c>
      <c r="D21" s="15">
        <v>3.3414472228369109E-2</v>
      </c>
      <c r="E21" s="15">
        <v>0.32002655454746626</v>
      </c>
    </row>
    <row r="22" spans="1:5" x14ac:dyDescent="0.25">
      <c r="A22" s="85" t="s">
        <v>1691</v>
      </c>
      <c r="B22" s="15">
        <v>0.28941710463449599</v>
      </c>
      <c r="C22" s="15">
        <v>0.11157299999999999</v>
      </c>
      <c r="D22" s="15">
        <v>3.0299410734193347E-2</v>
      </c>
      <c r="E22" s="15">
        <v>0.277154005414875</v>
      </c>
    </row>
    <row r="23" spans="1:5" x14ac:dyDescent="0.25">
      <c r="A23" s="85" t="s">
        <v>2096</v>
      </c>
      <c r="B23" s="15">
        <v>0.27729002023061144</v>
      </c>
      <c r="C23" s="15">
        <v>8.7577960504792857E-2</v>
      </c>
      <c r="D23" s="15">
        <v>2.6896154705958963E-2</v>
      </c>
      <c r="E23" s="15">
        <v>0.23388512064632705</v>
      </c>
    </row>
    <row r="24" spans="1:5" x14ac:dyDescent="0.25">
      <c r="A24" s="85" t="s">
        <v>2095</v>
      </c>
      <c r="B24" s="15">
        <v>0.28120776782161716</v>
      </c>
      <c r="C24" s="15">
        <v>8.3699999999999997E-2</v>
      </c>
      <c r="D24" s="15">
        <v>2.7829440020136875E-2</v>
      </c>
      <c r="E24" s="15">
        <v>0.24466004483654441</v>
      </c>
    </row>
    <row r="25" spans="1:5" x14ac:dyDescent="0.25">
      <c r="A25" s="85" t="s">
        <v>2118</v>
      </c>
      <c r="B25" s="15">
        <v>0.28268081489146013</v>
      </c>
      <c r="C25" s="15">
        <v>7.0000000000000007E-2</v>
      </c>
      <c r="D25" s="15">
        <v>2.7539010902592587E-2</v>
      </c>
      <c r="E25" s="15">
        <v>0.24526954931940559</v>
      </c>
    </row>
    <row r="26" spans="1:5" x14ac:dyDescent="0.25">
      <c r="A26" s="85" t="s">
        <v>2119</v>
      </c>
      <c r="B26" s="15">
        <v>0.28820305890037989</v>
      </c>
      <c r="C26" s="15">
        <v>0.06</v>
      </c>
      <c r="D26" s="15">
        <v>2.656303918233327E-2</v>
      </c>
      <c r="E26" s="15">
        <v>0.255293141599789</v>
      </c>
    </row>
    <row r="27" spans="1:5" x14ac:dyDescent="0.25">
      <c r="A27" s="85" t="s">
        <v>2120</v>
      </c>
      <c r="B27" s="15">
        <v>0.28881887351080815</v>
      </c>
      <c r="C27" s="15">
        <v>0.05</v>
      </c>
      <c r="D27" s="15">
        <v>2.5986673930370019E-2</v>
      </c>
      <c r="E27" s="15">
        <v>0.25140530040063597</v>
      </c>
    </row>
    <row r="28" spans="1:5" x14ac:dyDescent="0.25">
      <c r="A28" s="85" t="s">
        <v>2126</v>
      </c>
      <c r="B28" s="15">
        <v>0.28807985455143181</v>
      </c>
      <c r="C28" s="15">
        <v>0.03</v>
      </c>
      <c r="D28" s="15">
        <v>2.4202131414695849E-2</v>
      </c>
      <c r="E28" s="15">
        <v>0.24598011873482295</v>
      </c>
    </row>
    <row r="32" spans="1:5" x14ac:dyDescent="0.25">
      <c r="A32" s="77" t="s">
        <v>2137</v>
      </c>
      <c r="B32" t="s">
        <v>2163</v>
      </c>
      <c r="C32" t="s">
        <v>2164</v>
      </c>
      <c r="D32" t="s">
        <v>2166</v>
      </c>
    </row>
    <row r="33" spans="1:4" x14ac:dyDescent="0.25">
      <c r="A33" s="85" t="s">
        <v>1697</v>
      </c>
      <c r="B33">
        <v>6665</v>
      </c>
      <c r="C33">
        <v>78638.305900000007</v>
      </c>
      <c r="D33">
        <v>71973.305900000007</v>
      </c>
    </row>
    <row r="34" spans="1:4" x14ac:dyDescent="0.25">
      <c r="A34" s="85" t="s">
        <v>1696</v>
      </c>
      <c r="B34">
        <v>10967</v>
      </c>
      <c r="C34">
        <v>92184.2788</v>
      </c>
      <c r="D34">
        <v>81217.2788</v>
      </c>
    </row>
    <row r="35" spans="1:4" x14ac:dyDescent="0.25">
      <c r="A35" s="85" t="s">
        <v>1695</v>
      </c>
      <c r="B35">
        <v>9460</v>
      </c>
      <c r="C35">
        <v>100962.9999</v>
      </c>
      <c r="D35">
        <v>91502.999899999995</v>
      </c>
    </row>
    <row r="36" spans="1:4" x14ac:dyDescent="0.25">
      <c r="A36" s="85" t="s">
        <v>1694</v>
      </c>
      <c r="B36">
        <v>11120</v>
      </c>
      <c r="C36">
        <v>92620.452099999995</v>
      </c>
      <c r="D36">
        <v>81500.452099999995</v>
      </c>
    </row>
    <row r="37" spans="1:4" x14ac:dyDescent="0.25">
      <c r="A37" s="85" t="s">
        <v>1693</v>
      </c>
      <c r="B37">
        <v>9942</v>
      </c>
      <c r="C37">
        <v>113873.8682</v>
      </c>
      <c r="D37">
        <v>103931.8682</v>
      </c>
    </row>
    <row r="38" spans="1:4" x14ac:dyDescent="0.25">
      <c r="A38" s="85" t="s">
        <v>1692</v>
      </c>
      <c r="B38">
        <v>9104</v>
      </c>
      <c r="C38">
        <v>137323.07</v>
      </c>
      <c r="D38">
        <v>128219.07</v>
      </c>
    </row>
    <row r="39" spans="1:4" x14ac:dyDescent="0.25">
      <c r="A39" s="85" t="s">
        <v>1691</v>
      </c>
      <c r="B39">
        <v>11759</v>
      </c>
      <c r="C39">
        <v>134437.27499999999</v>
      </c>
      <c r="D39">
        <v>122678.27499999999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FE42-F1CA-4D88-8C79-1FE725A3FC4C}">
  <sheetPr codeName="Sheet4">
    <tabColor theme="7" tint="0.59999389629810485"/>
  </sheetPr>
  <dimension ref="A1:V46"/>
  <sheetViews>
    <sheetView zoomScale="85" zoomScaleNormal="85" workbookViewId="0">
      <selection activeCell="P2" sqref="P2"/>
    </sheetView>
  </sheetViews>
  <sheetFormatPr defaultRowHeight="15" x14ac:dyDescent="0.25"/>
  <cols>
    <col min="1" max="1" width="7.5703125" bestFit="1" customWidth="1"/>
    <col min="2" max="2" width="17.28515625" bestFit="1" customWidth="1"/>
    <col min="3" max="3" width="13.7109375" bestFit="1" customWidth="1"/>
    <col min="4" max="4" width="14.85546875" bestFit="1" customWidth="1"/>
    <col min="5" max="5" width="15.5703125" bestFit="1" customWidth="1"/>
    <col min="6" max="6" width="16.140625" bestFit="1" customWidth="1"/>
    <col min="7" max="7" width="10.5703125" bestFit="1" customWidth="1"/>
    <col min="8" max="8" width="12" bestFit="1" customWidth="1"/>
    <col min="9" max="9" width="19.7109375" bestFit="1" customWidth="1"/>
    <col min="10" max="10" width="8" bestFit="1" customWidth="1"/>
    <col min="11" max="12" width="12.5703125" bestFit="1" customWidth="1"/>
    <col min="13" max="13" width="13.85546875" bestFit="1" customWidth="1"/>
    <col min="14" max="14" width="12.5703125" customWidth="1"/>
    <col min="15" max="15" width="17.28515625" bestFit="1" customWidth="1"/>
    <col min="16" max="16" width="14.28515625" bestFit="1" customWidth="1"/>
    <col min="17" max="17" width="11.5703125" bestFit="1" customWidth="1"/>
    <col min="18" max="19" width="12.7109375" bestFit="1" customWidth="1"/>
  </cols>
  <sheetData>
    <row r="1" spans="1:22" x14ac:dyDescent="0.25">
      <c r="A1" s="47" t="s">
        <v>2108</v>
      </c>
      <c r="B1" s="47" t="s">
        <v>2107</v>
      </c>
      <c r="C1" s="47" t="s">
        <v>2106</v>
      </c>
      <c r="D1" s="47" t="s">
        <v>2105</v>
      </c>
      <c r="E1" s="47" t="s">
        <v>2104</v>
      </c>
      <c r="F1" s="47" t="s">
        <v>2103</v>
      </c>
      <c r="G1" s="47" t="s">
        <v>2121</v>
      </c>
      <c r="H1" s="47" t="s">
        <v>2122</v>
      </c>
      <c r="I1" s="47" t="s">
        <v>2102</v>
      </c>
      <c r="J1" s="47" t="s">
        <v>2101</v>
      </c>
      <c r="K1" s="47" t="s">
        <v>2100</v>
      </c>
      <c r="L1" s="47" t="s">
        <v>2099</v>
      </c>
      <c r="M1" s="47" t="s">
        <v>2130</v>
      </c>
      <c r="N1" s="47" t="s">
        <v>2115</v>
      </c>
      <c r="O1" s="92" t="s">
        <v>2098</v>
      </c>
      <c r="P1" s="47" t="s">
        <v>2097</v>
      </c>
      <c r="Q1" s="47" t="s">
        <v>2155</v>
      </c>
    </row>
    <row r="2" spans="1:22" x14ac:dyDescent="0.25">
      <c r="A2" s="51" t="s">
        <v>1697</v>
      </c>
      <c r="B2" s="53">
        <f>_xlfn.XLOOKUP("*"&amp;A2&amp;"*",'BBG Adj Highlights'!$C$4:$L$4,'BBG Adj Highlights'!$C$12:$L$12, , 2)</f>
        <v>14884</v>
      </c>
      <c r="C2" s="52">
        <f>_xlfn.XLOOKUP("*"&amp;A2&amp;"*",'BBG Adj Highlights'!$C$4:$L$4,'BBG Adj Highlights'!$C$13:$L$13, , 2)/100</f>
        <v>9.4330999999999998E-2</v>
      </c>
      <c r="D2" s="52">
        <f>_xlfn.XLOOKUP("*"&amp;RIGHT(A2,4)&amp;"*", SYK!$E$3:$N$3, SYK!$E$27:$N$27,,2)/100</f>
        <v>0.65900000000000003</v>
      </c>
      <c r="E2" s="53">
        <f>_xlfn.XLOOKUP("*"&amp;A2&amp;"*",'BBG Adj Highlights'!$C$4:$L$4,'BBG Adj Highlights'!$C$16:$L$16,,2)</f>
        <v>4355</v>
      </c>
      <c r="F2" s="52">
        <f>_xlfn.XLOOKUP("*"&amp;A2&amp;"*",'BBG Adj Highlights'!$C$4:$L$4,'BBG Adj Highlights'!$C$17:$L$17,,2) /100</f>
        <v>0.29259607632356899</v>
      </c>
      <c r="G2" s="53">
        <f>_xlfn.XLOOKUP("*"&amp;A2&amp;"*",'BBG Adjusted'!$C$4:$L$4,'BBG Adjusted'!$C$65:$L$65,,2)</f>
        <v>3444</v>
      </c>
      <c r="H2" s="53"/>
      <c r="I2" s="53">
        <f>_xlfn.XLOOKUP("*"&amp;A2&amp;"*",'BBG Adj Highlights'!$C$4:$L$4,'BBG Adj Highlights'!$C$18:$L$18,,2)</f>
        <v>2764</v>
      </c>
      <c r="J2" s="53">
        <f>_xlfn.XLOOKUP("*"&amp;A2&amp;"*",'BBG Adj Highlights'!$C$4:$L$4,'BBG Adj Highlights'!$C$20:$L$20,,2)</f>
        <v>7.2725999999999997</v>
      </c>
      <c r="K2" s="53">
        <f>_xlfn.XLOOKUP("*"&amp;A2&amp;"*",'BBG Adj Highlights'!$C$4:$L$4,'BBG Adj Highlights'!$C$25:$L$25,,2)</f>
        <v>1542</v>
      </c>
      <c r="L2" s="53">
        <f>_xlfn.XLOOKUP("*"&amp;A2&amp;"*",'BBG Adj Highlights'!$C$4:$L$4,'BBG Adj Highlights'!$C$10:$L$10,,2)</f>
        <v>85690.305900000007</v>
      </c>
      <c r="M2" s="53">
        <f>_xlfn.XLOOKUP("*"&amp;RIGHT(A2,4)&amp;"*", SYK!$E$3:$N$3, SYK!$E$31:$N$31,,2)</f>
        <v>6665</v>
      </c>
      <c r="N2" s="53">
        <f>_xlfn.XLOOKUP("*"&amp;A2&amp;"*",'BBG Adj Highlights'!$C$4:$L$4,'BBG Adj Highlights'!$C$6:$L$6, , 2)</f>
        <v>78638.305900000007</v>
      </c>
      <c r="O2" s="93">
        <f>_xlfn.XLOOKUP("*"&amp;A2&amp;"*",Segments!$E$3:$N$3,Segments!$E$7:$N$7,,2)/100</f>
        <v>0.44654363649731638</v>
      </c>
      <c r="P2" s="52">
        <f>1-O2</f>
        <v>0.55345636350268368</v>
      </c>
      <c r="Q2" s="15">
        <f>SUM(C2,F2)</f>
        <v>0.38692707632356899</v>
      </c>
    </row>
    <row r="3" spans="1:22" x14ac:dyDescent="0.25">
      <c r="A3" s="51" t="s">
        <v>1696</v>
      </c>
      <c r="B3" s="53">
        <v>14351</v>
      </c>
      <c r="C3" s="52">
        <v>-3.5810000000000002E-2</v>
      </c>
      <c r="D3" s="52">
        <v>0.63800000000000001</v>
      </c>
      <c r="E3" s="53">
        <v>3969</v>
      </c>
      <c r="F3" s="52">
        <v>0.27656609295519502</v>
      </c>
      <c r="G3" s="53">
        <v>3027</v>
      </c>
      <c r="H3" s="53"/>
      <c r="I3" s="53">
        <v>2446</v>
      </c>
      <c r="J3" s="53">
        <v>6.4272</v>
      </c>
      <c r="K3" s="53">
        <v>2790</v>
      </c>
      <c r="L3" s="53">
        <v>103585.2788</v>
      </c>
      <c r="M3" s="53">
        <f>_xlfn.XLOOKUP("*"&amp;RIGHT(A3,4)&amp;"*", SYK!$E$3:$N$3, SYK!$E$31:$N$31,,2)</f>
        <v>10967</v>
      </c>
      <c r="N3" s="53">
        <v>92184.2788</v>
      </c>
      <c r="O3" s="93">
        <v>0.56940338618650899</v>
      </c>
      <c r="P3" s="52">
        <v>0.43059661381349101</v>
      </c>
      <c r="Q3" s="15">
        <f t="shared" ref="Q3:Q10" si="0">SUM(C3,F3)</f>
        <v>0.24075609295519501</v>
      </c>
    </row>
    <row r="4" spans="1:22" x14ac:dyDescent="0.25">
      <c r="A4" s="51" t="s">
        <v>1695</v>
      </c>
      <c r="B4" s="53">
        <v>17108</v>
      </c>
      <c r="C4" s="52">
        <v>0.192112</v>
      </c>
      <c r="D4" s="52">
        <v>0.6409999999999999</v>
      </c>
      <c r="E4" s="53">
        <v>4886</v>
      </c>
      <c r="F4" s="52">
        <v>0.28559738134206197</v>
      </c>
      <c r="G4" s="53">
        <v>3763</v>
      </c>
      <c r="H4" s="53"/>
      <c r="I4" s="53">
        <v>2985</v>
      </c>
      <c r="J4" s="53">
        <v>7.8022</v>
      </c>
      <c r="K4" s="53">
        <v>2738</v>
      </c>
      <c r="L4" s="53">
        <v>110844.9999</v>
      </c>
      <c r="M4" s="53">
        <f>_xlfn.XLOOKUP("*"&amp;RIGHT(A4,4)&amp;"*", SYK!$E$3:$N$3, SYK!$E$31:$N$31,,2)</f>
        <v>9460</v>
      </c>
      <c r="N4" s="53">
        <v>100962.9999</v>
      </c>
      <c r="O4" s="93">
        <v>0.58149257891436135</v>
      </c>
      <c r="P4" s="52">
        <v>0.41850742108563865</v>
      </c>
      <c r="Q4" s="15">
        <f t="shared" si="0"/>
        <v>0.47770938134206198</v>
      </c>
    </row>
    <row r="5" spans="1:22" x14ac:dyDescent="0.25">
      <c r="A5" s="51" t="s">
        <v>1694</v>
      </c>
      <c r="B5" s="53">
        <v>18449</v>
      </c>
      <c r="C5" s="52">
        <v>7.8383999999999995E-2</v>
      </c>
      <c r="D5" s="52">
        <v>0.63100000000000001</v>
      </c>
      <c r="E5" s="53">
        <v>4904</v>
      </c>
      <c r="F5" s="52">
        <v>0.265813865250149</v>
      </c>
      <c r="G5" s="53">
        <v>3757</v>
      </c>
      <c r="H5" s="53"/>
      <c r="I5" s="53">
        <v>3076</v>
      </c>
      <c r="J5" s="53">
        <v>8.0486000000000004</v>
      </c>
      <c r="K5" s="53">
        <v>2036</v>
      </c>
      <c r="L5" s="53">
        <v>104218.45209999999</v>
      </c>
      <c r="M5" s="53">
        <f>_xlfn.XLOOKUP("*"&amp;RIGHT(A5,4)&amp;"*", SYK!$E$3:$N$3, SYK!$E$31:$N$31,,2)</f>
        <v>11120</v>
      </c>
      <c r="N5" s="53">
        <v>92620.452099999995</v>
      </c>
      <c r="O5" s="93">
        <v>0.55751695113397237</v>
      </c>
      <c r="P5" s="52">
        <v>0.44248304886602763</v>
      </c>
      <c r="Q5" s="15">
        <f t="shared" si="0"/>
        <v>0.344197865250149</v>
      </c>
    </row>
    <row r="6" spans="1:22" x14ac:dyDescent="0.25">
      <c r="A6" s="51" t="s">
        <v>1693</v>
      </c>
      <c r="B6" s="53">
        <v>20498</v>
      </c>
      <c r="C6" s="52">
        <v>0.111063</v>
      </c>
      <c r="D6" s="52">
        <v>0.63900000000000001</v>
      </c>
      <c r="E6" s="53">
        <v>5520</v>
      </c>
      <c r="F6" s="52">
        <v>0.26929456532344598</v>
      </c>
      <c r="G6" s="53">
        <v>4320</v>
      </c>
      <c r="H6" s="53"/>
      <c r="I6" s="53">
        <v>3563</v>
      </c>
      <c r="J6" s="53">
        <v>9.2873000000000001</v>
      </c>
      <c r="K6" s="53">
        <v>3136</v>
      </c>
      <c r="L6" s="53">
        <v>124314.8682</v>
      </c>
      <c r="M6" s="53">
        <f>_xlfn.XLOOKUP("*"&amp;RIGHT(A6,4)&amp;"*", SYK!$E$3:$N$3, SYK!$E$31:$N$31,,2)</f>
        <v>9942</v>
      </c>
      <c r="N6" s="53">
        <v>113873.8682</v>
      </c>
      <c r="O6" s="93">
        <v>0.59043850615209492</v>
      </c>
      <c r="P6" s="52">
        <v>0.40956149384790508</v>
      </c>
      <c r="Q6" s="15">
        <f t="shared" si="0"/>
        <v>0.380357565323446</v>
      </c>
    </row>
    <row r="7" spans="1:22" x14ac:dyDescent="0.25">
      <c r="A7" s="51" t="s">
        <v>1692</v>
      </c>
      <c r="B7" s="53">
        <v>22595</v>
      </c>
      <c r="C7" s="52">
        <v>0.10230299999999999</v>
      </c>
      <c r="D7" s="52">
        <v>0.64461163999999993</v>
      </c>
      <c r="E7" s="53">
        <v>6332</v>
      </c>
      <c r="F7" s="52">
        <v>0.28023899092719601</v>
      </c>
      <c r="G7" s="53">
        <v>5092</v>
      </c>
      <c r="H7" s="53"/>
      <c r="I7" s="53">
        <v>4205</v>
      </c>
      <c r="J7" s="53">
        <v>10.9032</v>
      </c>
      <c r="K7" s="53">
        <v>3487</v>
      </c>
      <c r="L7" s="53">
        <v>146950.07</v>
      </c>
      <c r="M7" s="53">
        <f>_xlfn.XLOOKUP("*"&amp;RIGHT(A7,4)&amp;"*", SYK!$E$3:$N$3, SYK!$E$31:$N$31,,2)</f>
        <v>9104</v>
      </c>
      <c r="N7" s="53">
        <v>137323.07</v>
      </c>
      <c r="O7" s="93">
        <v>0.59337496341106455</v>
      </c>
      <c r="P7" s="52">
        <v>0.40662503658893551</v>
      </c>
      <c r="Q7" s="15">
        <f t="shared" si="0"/>
        <v>0.38254199092719599</v>
      </c>
    </row>
    <row r="8" spans="1:22" x14ac:dyDescent="0.25">
      <c r="A8" s="51" t="s">
        <v>1691</v>
      </c>
      <c r="B8" s="53">
        <v>25116</v>
      </c>
      <c r="C8" s="52">
        <v>0.11157299999999999</v>
      </c>
      <c r="D8" s="52">
        <v>0.65300000000000002</v>
      </c>
      <c r="E8" s="53">
        <v>7269</v>
      </c>
      <c r="F8" s="52">
        <v>0.28941710463449599</v>
      </c>
      <c r="G8" s="53">
        <v>5871</v>
      </c>
      <c r="H8" s="53"/>
      <c r="I8" s="53">
        <v>4686</v>
      </c>
      <c r="J8" s="53">
        <v>12.1257</v>
      </c>
      <c r="K8" s="53">
        <v>4283</v>
      </c>
      <c r="L8" s="53">
        <v>146697.27499999999</v>
      </c>
      <c r="M8" s="53">
        <f>_xlfn.XLOOKUP("*"&amp;RIGHT(A8,4)&amp;"*", SYK!$E$3:$N$3, SYK!$E$31:$N$31,,2)</f>
        <v>11759</v>
      </c>
      <c r="N8" s="65">
        <v>134437.27499999999</v>
      </c>
      <c r="O8" s="93">
        <v>0.59827395441469344</v>
      </c>
      <c r="P8" s="52">
        <v>0.4017260455853065</v>
      </c>
      <c r="Q8" s="15">
        <f t="shared" si="0"/>
        <v>0.40099010463449597</v>
      </c>
    </row>
    <row r="9" spans="1:22" x14ac:dyDescent="0.25">
      <c r="A9" s="51" t="s">
        <v>2096</v>
      </c>
      <c r="B9" s="53">
        <f>_xlfn.XLOOKUP("*"&amp;A9&amp;"*",'BBG Adj Highlights'!$C$4:$L$4,'BBG Adj Highlights'!$C$12:$L$12, , 2)</f>
        <v>27317.214285714301</v>
      </c>
      <c r="C9" s="52">
        <f>_xlfn.XLOOKUP("*"&amp;A9&amp;"*",'BBG Adj Highlights'!$C$4:$L$4,'BBG Adj Highlights'!$C$13:$L$13, , 2)/100</f>
        <v>8.7641912952471993E-2</v>
      </c>
      <c r="D9" s="52">
        <f>_xlfn.XLOOKUP("*"&amp;RIGHT(A9,4)&amp;"*", SYK!$E$3:$N$3, SYK!$E$27:$N$27,,2)/100</f>
        <v>0.65211765350769568</v>
      </c>
      <c r="E9" s="53">
        <f>_xlfn.XLOOKUP("*"&amp;A9&amp;"*",'BBG Adj Highlights'!$C$4:$L$4,'BBG Adj Highlights'!$C$16:$L$16,,2)</f>
        <v>7838.9166666666697</v>
      </c>
      <c r="F9" s="52">
        <f>_xlfn.XLOOKUP("*"&amp;A9&amp;"*",'BBG Adj Highlights'!$C$4:$L$4,'BBG Adj Highlights'!$C$17:$L$17,,2) /100</f>
        <v>0.28695885988514097</v>
      </c>
      <c r="G9" s="53">
        <f>_xlfn.XLOOKUP("*"&amp;A9&amp;"*",'BBG Adjusted'!$C$4:$L$4,'BBG Adjusted'!$C$65:$L$65,,2)</f>
        <v>7296.6923076923104</v>
      </c>
      <c r="H9" s="53"/>
      <c r="I9" s="53">
        <f>_xlfn.XLOOKUP("*"&amp;A9&amp;"*",'BBG Adj Highlights'!$C$4:$L$4,'BBG Adj Highlights'!$C$18:$L$18,,2)</f>
        <v>5814.8329999999996</v>
      </c>
      <c r="J9" s="53">
        <f>_xlfn.XLOOKUP("*"&amp;A9&amp;"*",'BBG Adj Highlights'!$C$4:$L$4,'BBG Adj Highlights'!$C$20:$L$20,,2)</f>
        <v>15.013</v>
      </c>
      <c r="K9" s="53">
        <f>_xlfn.XLOOKUP("*"&amp;A9&amp;"*",'BBG Adj Highlights'!$C$4:$L$4,'BBG Adj Highlights'!$C$25:$L$25,,2)</f>
        <v>5415.5249999999996</v>
      </c>
      <c r="L9" s="53">
        <f>_xlfn.XLOOKUP("*"&amp;A9&amp;"*",'BBG Adj Highlights'!$C$4:$L$4,'BBG Adj Highlights'!$C$10:$L$10,,2)</f>
        <v>0</v>
      </c>
      <c r="M9" s="53">
        <f>_xlfn.XLOOKUP("*"&amp;RIGHT(A9,4)&amp;"*", SYK!$E$3:$N$3, SYK!$E$31:$N$31,,2)</f>
        <v>9193.285714285721</v>
      </c>
      <c r="N9" s="53">
        <f>_xlfn.XLOOKUP("*"&amp;A9&amp;"*",'BBG Adj Highlights'!$C$4:$L$4,'BBG Adj Highlights'!$C$6:$L$6, , 2)</f>
        <v>0</v>
      </c>
      <c r="O9" s="93">
        <f>IFERROR(_xlfn.XLOOKUP("*"&amp;A9&amp;"*",Segments!$E$3:$N$3,Segments!$E$7:$N$7,,2)/100,0)</f>
        <v>0</v>
      </c>
      <c r="P9" s="52">
        <f>IFERROR(_xlfn.XLOOKUP("*"&amp;A9&amp;"*",Segments!$E$3:$N$3,Segments!$E$21:$N$21,,2)/100,0)</f>
        <v>0</v>
      </c>
      <c r="Q9" s="15">
        <f t="shared" si="0"/>
        <v>0.37460077283761295</v>
      </c>
    </row>
    <row r="10" spans="1:22" x14ac:dyDescent="0.25">
      <c r="A10" s="51" t="s">
        <v>2095</v>
      </c>
      <c r="B10" s="53">
        <f>_xlfn.XLOOKUP("*"&amp;A10&amp;"*",'BBG Adj Highlights'!$C$4:$L$4,'BBG Adj Highlights'!$C$12:$L$12, , 2)</f>
        <v>29602.892857142899</v>
      </c>
      <c r="C10" s="52">
        <f>_xlfn.XLOOKUP("*"&amp;A10&amp;"*",'BBG Adj Highlights'!$C$4:$L$4,'BBG Adj Highlights'!$C$13:$L$13, , 2)/100</f>
        <v>8.3671729757008192E-2</v>
      </c>
      <c r="D10" s="52">
        <f>_xlfn.XLOOKUP("*"&amp;RIGHT(A10,4)&amp;"*", SYK!$E$3:$N$3, SYK!$E$27:$N$27,,2)/100</f>
        <v>0.65463259946705943</v>
      </c>
      <c r="E10" s="53">
        <f>_xlfn.XLOOKUP("*"&amp;A10&amp;"*",'BBG Adj Highlights'!$C$4:$L$4,'BBG Adj Highlights'!$C$16:$L$16,,2)</f>
        <v>8626.3478260869597</v>
      </c>
      <c r="F10" s="52">
        <f>_xlfn.XLOOKUP("*"&amp;A10&amp;"*",'BBG Adj Highlights'!$C$4:$L$4,'BBG Adj Highlights'!$C$17:$L$17,,2) /100</f>
        <v>0.29140219058035399</v>
      </c>
      <c r="G10" s="53">
        <f>_xlfn.XLOOKUP("*"&amp;A10&amp;"*",'BBG Adjusted'!$C$4:$L$4,'BBG Adjusted'!$C$65:$L$65,,2)</f>
        <v>8076.7692307692296</v>
      </c>
      <c r="H10" s="53"/>
      <c r="I10" s="53">
        <f>_xlfn.XLOOKUP("*"&amp;A10&amp;"*",'BBG Adj Highlights'!$C$4:$L$4,'BBG Adj Highlights'!$C$18:$L$18,,2)</f>
        <v>6484.64</v>
      </c>
      <c r="J10" s="53">
        <f>_xlfn.XLOOKUP("*"&amp;A10&amp;"*",'BBG Adj Highlights'!$C$4:$L$4,'BBG Adj Highlights'!$C$20:$L$20,,2)</f>
        <v>16.745999999999999</v>
      </c>
      <c r="K10" s="53">
        <f>_xlfn.XLOOKUP("*"&amp;A10&amp;"*",'BBG Adj Highlights'!$C$4:$L$4,'BBG Adj Highlights'!$C$25:$L$25,,2)</f>
        <v>5637.65</v>
      </c>
      <c r="L10" s="53">
        <f>_xlfn.XLOOKUP("*"&amp;A10&amp;"*",'BBG Adj Highlights'!$C$4:$L$4,'BBG Adj Highlights'!$C$10:$L$10,,2)</f>
        <v>0</v>
      </c>
      <c r="M10" s="53">
        <f>_xlfn.XLOOKUP("*"&amp;RIGHT(A10,4)&amp;"*", SYK!$E$3:$N$3, SYK!$E$31:$N$31,,2)</f>
        <v>5874.5714285714303</v>
      </c>
      <c r="N10" s="53">
        <f>_xlfn.XLOOKUP("*"&amp;A10&amp;"*",'BBG Adj Highlights'!$C$4:$L$4,'BBG Adj Highlights'!$C$6:$L$6, , 2)</f>
        <v>0</v>
      </c>
      <c r="O10" s="93">
        <f>IFERROR(_xlfn.XLOOKUP("*"&amp;A10&amp;"*",Segments!$E$3:$N$3,Segments!$E$7:$N$7,,2)/100,0)</f>
        <v>0</v>
      </c>
      <c r="P10" s="52">
        <f>IFERROR(_xlfn.XLOOKUP("*"&amp;A10&amp;"*",Segments!$E$3:$N$3,Segments!$E$21:$N$21,,2)/100,0)</f>
        <v>0</v>
      </c>
      <c r="Q10" s="15">
        <f t="shared" si="0"/>
        <v>0.3750739203373622</v>
      </c>
    </row>
    <row r="11" spans="1:22" x14ac:dyDescent="0.25">
      <c r="M11" s="106" t="s">
        <v>2109</v>
      </c>
      <c r="N11" s="106"/>
      <c r="O11" s="106"/>
    </row>
    <row r="13" spans="1:22" x14ac:dyDescent="0.25">
      <c r="A13" s="47" t="s">
        <v>2108</v>
      </c>
      <c r="B13" s="47" t="s">
        <v>2107</v>
      </c>
      <c r="C13" s="47" t="s">
        <v>2106</v>
      </c>
      <c r="D13" s="47" t="s">
        <v>2105</v>
      </c>
      <c r="E13" s="47" t="s">
        <v>2104</v>
      </c>
      <c r="F13" s="47" t="s">
        <v>2103</v>
      </c>
      <c r="G13" s="47" t="s">
        <v>2121</v>
      </c>
      <c r="H13" s="47" t="s">
        <v>2122</v>
      </c>
      <c r="I13" s="47" t="s">
        <v>2102</v>
      </c>
      <c r="J13" s="47" t="s">
        <v>2101</v>
      </c>
      <c r="K13" s="47" t="s">
        <v>2100</v>
      </c>
      <c r="L13" s="47" t="s">
        <v>2099</v>
      </c>
      <c r="M13" s="47" t="s">
        <v>2130</v>
      </c>
      <c r="N13" s="47" t="s">
        <v>2115</v>
      </c>
      <c r="O13" s="47" t="s">
        <v>2123</v>
      </c>
      <c r="P13" s="47" t="s">
        <v>2127</v>
      </c>
      <c r="Q13" s="47" t="s">
        <v>2128</v>
      </c>
      <c r="R13" s="47" t="s">
        <v>2129</v>
      </c>
      <c r="S13" s="47"/>
    </row>
    <row r="14" spans="1:22" x14ac:dyDescent="0.25">
      <c r="A14" s="45" t="s">
        <v>1697</v>
      </c>
      <c r="B14" s="54">
        <v>14884</v>
      </c>
      <c r="C14" s="44">
        <v>9.4330999999999998E-2</v>
      </c>
      <c r="D14" s="44">
        <v>0.65900000000000003</v>
      </c>
      <c r="E14" s="54">
        <v>4355</v>
      </c>
      <c r="F14" s="44">
        <v>0.29259607632356899</v>
      </c>
      <c r="G14" s="53">
        <f>_xlfn.XLOOKUP("*"&amp;A14&amp;"*",'BBG Adjusted'!$C$4:$L$4,'BBG Adjusted'!$C$65:$L$65,,2)</f>
        <v>3444</v>
      </c>
      <c r="H14" s="53"/>
      <c r="I14" s="54">
        <v>2764</v>
      </c>
      <c r="J14" s="54">
        <v>7.2725999999999997</v>
      </c>
      <c r="K14" s="54">
        <v>1542</v>
      </c>
      <c r="L14" s="54">
        <v>85690.305900000007</v>
      </c>
      <c r="M14" s="54">
        <v>6665</v>
      </c>
      <c r="N14" s="53">
        <f>_xlfn.XLOOKUP("*"&amp;A14&amp;"*",'BBG Adj Highlights'!$C$4:$L$4,'BBG Adj Highlights'!$C$6:$L$6, , 2)</f>
        <v>78638.305900000007</v>
      </c>
      <c r="O14" s="44">
        <f>_xlfn.XLOOKUP("*"&amp;RIGHT(A2,4)&amp;"*",SYK!$E$3:$N$3,SYK!$E$276:$N$276,,2) / 100</f>
        <v>4.3603869927438851E-2</v>
      </c>
      <c r="P14" s="54">
        <f>_xlfn.XLOOKUP("*"&amp;RIGHT(A14,4)&amp;"*", SYK!$E$3:$N$3, SYK!$E$203:$N$203,,2)-_xlfn.XLOOKUP("*"&amp;RIGHT(A14,4)&amp;"*", SYK!$E$3:$N$3, SYK!$E$222:$N$222,,2)</f>
        <v>6658</v>
      </c>
      <c r="Q14" s="15">
        <f>P14/B14</f>
        <v>0.44732598763773179</v>
      </c>
      <c r="V14" s="44"/>
    </row>
    <row r="15" spans="1:22" x14ac:dyDescent="0.25">
      <c r="A15" s="45" t="s">
        <v>1696</v>
      </c>
      <c r="B15" s="54">
        <v>14351</v>
      </c>
      <c r="C15" s="44">
        <v>-3.5810000000000002E-2</v>
      </c>
      <c r="D15" s="44">
        <v>0.63800000000000001</v>
      </c>
      <c r="E15" s="54">
        <v>3969</v>
      </c>
      <c r="F15" s="44">
        <v>0.27656609295519502</v>
      </c>
      <c r="G15" s="53">
        <v>3027</v>
      </c>
      <c r="H15" s="53"/>
      <c r="I15" s="54">
        <v>2446</v>
      </c>
      <c r="J15" s="54">
        <v>6.4272</v>
      </c>
      <c r="K15" s="54">
        <v>2790</v>
      </c>
      <c r="L15" s="54">
        <v>103585.2788</v>
      </c>
      <c r="M15" s="54">
        <v>10967</v>
      </c>
      <c r="N15" s="53">
        <f>_xlfn.XLOOKUP("*"&amp;A15&amp;"*",'BBG Adj Highlights'!$C$4:$L$4,'BBG Adj Highlights'!$C$6:$L$6, , 2)</f>
        <v>92184.2788</v>
      </c>
      <c r="O15" s="44">
        <f>_xlfn.XLOOKUP("*"&amp;RIGHT(A3,4)&amp;"*",SYK!$E$3:$N$3,SYK!$E$276:$N$276,,2) / 100</f>
        <v>3.3934917427356978E-2</v>
      </c>
      <c r="P15" s="54">
        <f>_xlfn.XLOOKUP("*"&amp;RIGHT(A15,4)&amp;"*", SYK!$E$3:$N$3, SYK!$E$203:$N$203,,2)-_xlfn.XLOOKUP("*"&amp;RIGHT(A15,4)&amp;"*", SYK!$E$3:$N$3, SYK!$E$222:$N$222,,2)</f>
        <v>4666</v>
      </c>
      <c r="Q15" s="15">
        <f t="shared" ref="Q15:Q20" si="1">P15/B15</f>
        <v>0.32513413699393773</v>
      </c>
      <c r="R15" s="14">
        <f>P15-P14</f>
        <v>-1992</v>
      </c>
      <c r="V15" s="44"/>
    </row>
    <row r="16" spans="1:22" x14ac:dyDescent="0.25">
      <c r="A16" s="45" t="s">
        <v>1695</v>
      </c>
      <c r="B16" s="54">
        <v>17108</v>
      </c>
      <c r="C16" s="44">
        <v>0.192112</v>
      </c>
      <c r="D16" s="44">
        <v>0.6409999999999999</v>
      </c>
      <c r="E16" s="54">
        <v>4886</v>
      </c>
      <c r="F16" s="44">
        <v>0.28559738134206197</v>
      </c>
      <c r="G16" s="53">
        <v>3763</v>
      </c>
      <c r="H16" s="53"/>
      <c r="I16" s="54">
        <v>2985</v>
      </c>
      <c r="J16" s="54">
        <v>7.8022</v>
      </c>
      <c r="K16" s="54">
        <v>2738</v>
      </c>
      <c r="L16" s="54">
        <v>110844.9999</v>
      </c>
      <c r="M16" s="54">
        <v>9460</v>
      </c>
      <c r="N16" s="53">
        <v>100962.9999</v>
      </c>
      <c r="O16" s="44">
        <f>_xlfn.XLOOKUP("*"&amp;RIGHT(A4,4)&amp;"*",SYK!$E$3:$N$3,SYK!$E$276:$N$276,,2) / 100</f>
        <v>3.0687397708674305E-2</v>
      </c>
      <c r="P16" s="54">
        <f>_xlfn.XLOOKUP("*"&amp;RIGHT(A16,4)&amp;"*", SYK!$E$3:$N$3, SYK!$E$203:$N$203,,2)-_xlfn.XLOOKUP("*"&amp;RIGHT(A16,4)&amp;"*", SYK!$E$3:$N$3, SYK!$E$222:$N$222,,2)</f>
        <v>5468</v>
      </c>
      <c r="Q16" s="15">
        <f t="shared" si="1"/>
        <v>0.31961655365910685</v>
      </c>
      <c r="R16" s="14">
        <f t="shared" ref="R16:R26" si="2">P16-P15</f>
        <v>802</v>
      </c>
      <c r="V16" s="44"/>
    </row>
    <row r="17" spans="1:22" x14ac:dyDescent="0.25">
      <c r="A17" s="45" t="s">
        <v>1694</v>
      </c>
      <c r="B17" s="54">
        <v>18449</v>
      </c>
      <c r="C17" s="44">
        <v>7.8383999999999995E-2</v>
      </c>
      <c r="D17" s="44">
        <v>0.63100000000000001</v>
      </c>
      <c r="E17" s="54">
        <v>4904</v>
      </c>
      <c r="F17" s="44">
        <v>0.265813865250149</v>
      </c>
      <c r="G17" s="53">
        <v>3757</v>
      </c>
      <c r="H17" s="53"/>
      <c r="I17" s="54">
        <v>3076</v>
      </c>
      <c r="J17" s="54">
        <v>8.0486000000000004</v>
      </c>
      <c r="K17" s="54">
        <v>2036</v>
      </c>
      <c r="L17" s="54">
        <v>104218.45209999999</v>
      </c>
      <c r="M17" s="54">
        <v>11120</v>
      </c>
      <c r="N17" s="53">
        <v>92620.452099999995</v>
      </c>
      <c r="O17" s="44">
        <f>_xlfn.XLOOKUP("*"&amp;RIGHT(A5,4)&amp;"*",SYK!$E$3:$N$3,SYK!$E$276:$N$276,,2) / 100</f>
        <v>3.187164615968345E-2</v>
      </c>
      <c r="P17" s="54">
        <f>_xlfn.XLOOKUP("*"&amp;RIGHT(A17,4)&amp;"*", SYK!$E$3:$N$3, SYK!$E$203:$N$203,,2)-_xlfn.XLOOKUP("*"&amp;RIGHT(A17,4)&amp;"*", SYK!$E$3:$N$3, SYK!$E$222:$N$222,,2)</f>
        <v>3972</v>
      </c>
      <c r="Q17" s="15">
        <f t="shared" si="1"/>
        <v>0.21529622201745352</v>
      </c>
      <c r="R17" s="14">
        <f t="shared" si="2"/>
        <v>-1496</v>
      </c>
      <c r="V17" s="44"/>
    </row>
    <row r="18" spans="1:22" x14ac:dyDescent="0.25">
      <c r="A18" s="45" t="s">
        <v>1693</v>
      </c>
      <c r="B18" s="54">
        <v>20498</v>
      </c>
      <c r="C18" s="44">
        <v>0.111063</v>
      </c>
      <c r="D18" s="44">
        <v>0.63900000000000001</v>
      </c>
      <c r="E18" s="54">
        <v>5520</v>
      </c>
      <c r="F18" s="44">
        <v>0.26929456532344598</v>
      </c>
      <c r="G18" s="53">
        <v>4320</v>
      </c>
      <c r="H18" s="53"/>
      <c r="I18" s="54">
        <v>3563</v>
      </c>
      <c r="J18" s="54">
        <v>9.2873000000000001</v>
      </c>
      <c r="K18" s="54">
        <v>3136</v>
      </c>
      <c r="L18" s="54">
        <v>124314.8682</v>
      </c>
      <c r="M18" s="54">
        <v>9942</v>
      </c>
      <c r="N18" s="53">
        <v>113873.8682</v>
      </c>
      <c r="O18" s="44">
        <f>_xlfn.XLOOKUP("*"&amp;RIGHT(A6,4)&amp;"*",SYK!$E$3:$N$3,SYK!$E$276:$N$276,,2) / 100</f>
        <v>2.8051517221192316E-2</v>
      </c>
      <c r="P18" s="54">
        <f>_xlfn.XLOOKUP("*"&amp;RIGHT(A18,4)&amp;"*", SYK!$E$3:$N$3, SYK!$E$203:$N$203,,2)-_xlfn.XLOOKUP("*"&amp;RIGHT(A18,4)&amp;"*", SYK!$E$3:$N$3, SYK!$E$222:$N$222,,2)</f>
        <v>4597</v>
      </c>
      <c r="Q18" s="15">
        <f t="shared" si="1"/>
        <v>0.22426578202751488</v>
      </c>
      <c r="R18" s="14">
        <f t="shared" si="2"/>
        <v>625</v>
      </c>
      <c r="V18" s="44"/>
    </row>
    <row r="19" spans="1:22" x14ac:dyDescent="0.25">
      <c r="A19" s="45" t="s">
        <v>1692</v>
      </c>
      <c r="B19" s="54">
        <v>22595</v>
      </c>
      <c r="C19" s="44">
        <v>0.10230299999999999</v>
      </c>
      <c r="D19" s="44">
        <v>0.64461163999999993</v>
      </c>
      <c r="E19" s="54">
        <v>6332</v>
      </c>
      <c r="F19" s="44">
        <v>0.28023899092719601</v>
      </c>
      <c r="G19" s="53">
        <v>5092</v>
      </c>
      <c r="H19" s="53"/>
      <c r="I19" s="54">
        <v>4205</v>
      </c>
      <c r="J19" s="54">
        <v>10.9032</v>
      </c>
      <c r="K19" s="54">
        <v>3487</v>
      </c>
      <c r="L19" s="54">
        <v>146950.07</v>
      </c>
      <c r="M19" s="54">
        <v>9104</v>
      </c>
      <c r="N19" s="53">
        <v>137323.07</v>
      </c>
      <c r="O19" s="44">
        <f>_xlfn.XLOOKUP("*"&amp;RIGHT(A7,4)&amp;"*",SYK!$E$3:$N$3,SYK!$E$276:$N$276,,2) / 100</f>
        <v>3.3414472228369109E-2</v>
      </c>
      <c r="P19" s="54">
        <f>_xlfn.XLOOKUP("*"&amp;RIGHT(A19,4)&amp;"*", SYK!$E$3:$N$3, SYK!$E$203:$N$203,,2)-_xlfn.XLOOKUP("*"&amp;RIGHT(A19,4)&amp;"*", SYK!$E$3:$N$3, SYK!$E$222:$N$222,,2)</f>
        <v>7231</v>
      </c>
      <c r="Q19" s="15">
        <f t="shared" si="1"/>
        <v>0.32002655454746626</v>
      </c>
      <c r="R19" s="14">
        <f t="shared" si="2"/>
        <v>2634</v>
      </c>
      <c r="V19" s="44"/>
    </row>
    <row r="20" spans="1:22" ht="15.75" thickBot="1" x14ac:dyDescent="0.3">
      <c r="A20" s="58" t="s">
        <v>1691</v>
      </c>
      <c r="B20" s="59">
        <v>25116</v>
      </c>
      <c r="C20" s="60">
        <v>0.11157299999999999</v>
      </c>
      <c r="D20" s="60">
        <v>0.65300000000000002</v>
      </c>
      <c r="E20" s="59">
        <v>7269</v>
      </c>
      <c r="F20" s="60">
        <v>0.28941710463449599</v>
      </c>
      <c r="G20" s="68">
        <v>5871</v>
      </c>
      <c r="H20" s="68"/>
      <c r="I20" s="59">
        <v>4686</v>
      </c>
      <c r="J20" s="59">
        <v>12.1257</v>
      </c>
      <c r="K20" s="59">
        <v>4283</v>
      </c>
      <c r="L20" s="59">
        <v>146697.27499999999</v>
      </c>
      <c r="M20" s="59">
        <v>11759</v>
      </c>
      <c r="N20" s="66">
        <v>134437.27499999999</v>
      </c>
      <c r="O20" s="60">
        <f>_xlfn.XLOOKUP("*"&amp;RIGHT(A8,4)&amp;"*",SYK!$E$3:$N$3,SYK!$E$276:$N$276,,2) / 100</f>
        <v>3.0299410734193347E-2</v>
      </c>
      <c r="P20" s="59">
        <f>_xlfn.XLOOKUP("*"&amp;RIGHT(A20,4)&amp;"*", SYK!$E$3:$N$3, SYK!$E$203:$N$203,,2)-_xlfn.XLOOKUP("*"&amp;RIGHT(A20,4)&amp;"*", SYK!$E$3:$N$3, SYK!$E$222:$N$222,,2)</f>
        <v>6961</v>
      </c>
      <c r="Q20" s="75">
        <f t="shared" si="1"/>
        <v>0.277154005414875</v>
      </c>
      <c r="R20" s="76">
        <f t="shared" si="2"/>
        <v>-270</v>
      </c>
      <c r="S20" s="64"/>
      <c r="V20" s="44"/>
    </row>
    <row r="21" spans="1:22" x14ac:dyDescent="0.25">
      <c r="A21" s="55" t="s">
        <v>2096</v>
      </c>
      <c r="B21" s="56">
        <f>B20*(1+'DCF Dashboard'!C31)</f>
        <v>27315.608056038378</v>
      </c>
      <c r="C21" s="61">
        <f ca="1">'WACC Dashboard'!B16</f>
        <v>8.7577960504792857E-2</v>
      </c>
      <c r="D21" s="62"/>
      <c r="E21" s="56">
        <f>B21*F21</f>
        <v>7574.3455104703344</v>
      </c>
      <c r="F21" s="67" cm="1">
        <f t="array" ref="F21">TREND(F14:F20,(VALUE(RIGHT(A14:A20,4))),VALUE(RIGHT(A21,4)))</f>
        <v>0.27729002023061144</v>
      </c>
      <c r="G21" s="56">
        <f>E21-(B21*0.045)</f>
        <v>6345.1431479486073</v>
      </c>
      <c r="H21" s="56">
        <f>G21*(1-15.5%)</f>
        <v>5361.6459600165726</v>
      </c>
      <c r="I21" s="56"/>
      <c r="J21" s="57"/>
      <c r="K21" s="56">
        <f>H21+(B21*0.045)-(B21*O21)-R21</f>
        <v>6428.4492166614336</v>
      </c>
      <c r="L21" s="57"/>
      <c r="M21" s="56">
        <v>9193.285714285721</v>
      </c>
      <c r="N21" s="57"/>
      <c r="O21" s="67" cm="1">
        <f t="array" ref="O21">TREND(O14:O20,(VALUE(RIGHT(A14:A20,4))),VALUE(RIGHT(A21,4)))</f>
        <v>2.6896154705958963E-2</v>
      </c>
      <c r="P21" s="56" cm="1">
        <f t="array" ref="P21">TREND(P14:P20,(VALUE(RIGHT(A14:A20,4))),VALUE(RIGHT(A21,4)))</f>
        <v>6388.714285714319</v>
      </c>
      <c r="Q21" s="67">
        <f t="shared" ref="Q21:Q26" si="3">P21/B21</f>
        <v>0.23388512064632705</v>
      </c>
      <c r="R21" s="56">
        <f t="shared" si="2"/>
        <v>-572.28571428568102</v>
      </c>
      <c r="S21" s="57">
        <v>1</v>
      </c>
      <c r="V21" s="44"/>
    </row>
    <row r="22" spans="1:22" x14ac:dyDescent="0.25">
      <c r="A22" s="48" t="s">
        <v>2095</v>
      </c>
      <c r="B22" s="14">
        <f t="shared" ref="B22:B26" si="4">B21*(1+C22)</f>
        <v>29601.924450328788</v>
      </c>
      <c r="C22" s="15">
        <v>8.3699999999999997E-2</v>
      </c>
      <c r="E22" s="14">
        <f t="shared" ref="E22:E26" si="5">B22*F22</f>
        <v>8324.2910979011103</v>
      </c>
      <c r="F22" s="44" cm="1">
        <f t="array" ref="F22">TREND(F15:F21,(VALUE(RIGHT(A15:A21,4))),VALUE(RIGHT(A22,4)))</f>
        <v>0.28120776782161716</v>
      </c>
      <c r="G22" s="14">
        <f t="shared" ref="G22:G26" si="6">E22-(B22*0.045)</f>
        <v>6992.204497636315</v>
      </c>
      <c r="H22" s="14">
        <f t="shared" ref="H22:H26" si="7">G22*(1-15.5%)</f>
        <v>5908.412800502686</v>
      </c>
      <c r="I22" s="14"/>
      <c r="K22" s="14">
        <f t="shared" ref="K22:K26" si="8">H22+(B22*0.045)-(B22*O22)-R22</f>
        <v>5563.0005422453105</v>
      </c>
      <c r="M22" s="14">
        <v>5874.5714285714303</v>
      </c>
      <c r="O22" s="15" cm="1">
        <f t="array" ref="O22">TREND(O15:O21,(VALUE(RIGHT(A15:A21,4))),VALUE(RIGHT(A22,4)))</f>
        <v>2.7829440020136875E-2</v>
      </c>
      <c r="P22" s="14" cm="1">
        <f t="array" ref="P22">TREND(P15:P21,(VALUE(RIGHT(A15:A21,4))),VALUE(RIGHT(A22,4)))</f>
        <v>7242.4081632654415</v>
      </c>
      <c r="Q22" s="15">
        <f t="shared" si="3"/>
        <v>0.24466004483654441</v>
      </c>
      <c r="R22" s="14">
        <f t="shared" si="2"/>
        <v>853.69387755112257</v>
      </c>
      <c r="S22">
        <v>2</v>
      </c>
    </row>
    <row r="23" spans="1:22" x14ac:dyDescent="0.25">
      <c r="A23" s="48" t="s">
        <v>2118</v>
      </c>
      <c r="B23" s="14">
        <f t="shared" si="4"/>
        <v>31674.059161851805</v>
      </c>
      <c r="C23" s="44">
        <v>7.0000000000000007E-2</v>
      </c>
      <c r="E23" s="14">
        <f t="shared" si="5"/>
        <v>8953.6488547925874</v>
      </c>
      <c r="F23" s="44" cm="1">
        <f t="array" ref="F23">TREND(F16:F22,(VALUE(RIGHT(A16:A22,4))),VALUE(RIGHT(A23,4)))</f>
        <v>0.28268081489146013</v>
      </c>
      <c r="G23" s="14">
        <f t="shared" si="6"/>
        <v>7528.3161925092563</v>
      </c>
      <c r="H23" s="14">
        <f t="shared" si="7"/>
        <v>6361.4271826703216</v>
      </c>
      <c r="I23" s="14"/>
      <c r="K23" s="14">
        <f t="shared" si="8"/>
        <v>6388.2135318879127</v>
      </c>
      <c r="M23" s="14"/>
      <c r="O23" s="15" cm="1">
        <f t="array" ref="O23">TREND(O16:O22,(VALUE(RIGHT(A16:A22,4))),VALUE(RIGHT(A23,4)))</f>
        <v>2.7539010902592587E-2</v>
      </c>
      <c r="P23" s="14" cm="1">
        <f t="array" ref="P23">TREND(P16:P22,(VALUE(RIGHT(A16:A22,4))),VALUE(RIGHT(A23,4)))</f>
        <v>7768.6822157435818</v>
      </c>
      <c r="Q23" s="15">
        <f t="shared" si="3"/>
        <v>0.24526954931940559</v>
      </c>
      <c r="R23" s="14">
        <f t="shared" si="2"/>
        <v>526.27405247814022</v>
      </c>
      <c r="S23">
        <v>3</v>
      </c>
    </row>
    <row r="24" spans="1:22" x14ac:dyDescent="0.25">
      <c r="A24" s="48" t="s">
        <v>2119</v>
      </c>
      <c r="B24" s="14">
        <f t="shared" si="4"/>
        <v>33574.502711562913</v>
      </c>
      <c r="C24" s="44">
        <v>0.06</v>
      </c>
      <c r="E24" s="14">
        <f t="shared" si="5"/>
        <v>9676.2743825315301</v>
      </c>
      <c r="F24" s="44" cm="1">
        <f t="array" ref="F24">TREND(F17:F23,(VALUE(RIGHT(A17:A23,4))),VALUE(RIGHT(A24,4)))</f>
        <v>0.28820305890037989</v>
      </c>
      <c r="G24" s="14">
        <f t="shared" si="6"/>
        <v>8165.421760511199</v>
      </c>
      <c r="H24" s="14">
        <f t="shared" si="7"/>
        <v>6899.7813876319633</v>
      </c>
      <c r="I24" s="14"/>
      <c r="K24" s="14">
        <f t="shared" si="8"/>
        <v>6716.1351194557465</v>
      </c>
      <c r="M24" s="14"/>
      <c r="O24" s="15" cm="1">
        <f t="array" ref="O24">TREND(O17:O23,(VALUE(RIGHT(A17:A23,4))),VALUE(RIGHT(A24,4)))</f>
        <v>2.656303918233327E-2</v>
      </c>
      <c r="P24" s="14" cm="1">
        <f t="array" ref="P24">TREND(P17:P23,(VALUE(RIGHT(A17:A23,4))),VALUE(RIGHT(A24,4)))</f>
        <v>8571.3402748855297</v>
      </c>
      <c r="Q24" s="15">
        <f t="shared" si="3"/>
        <v>0.255293141599789</v>
      </c>
      <c r="R24" s="14">
        <f t="shared" si="2"/>
        <v>802.65805914194789</v>
      </c>
      <c r="S24">
        <v>4</v>
      </c>
    </row>
    <row r="25" spans="1:22" x14ac:dyDescent="0.25">
      <c r="A25" s="48" t="s">
        <v>2120</v>
      </c>
      <c r="B25" s="14">
        <f t="shared" si="4"/>
        <v>35253.227847141061</v>
      </c>
      <c r="C25" s="44">
        <v>0.05</v>
      </c>
      <c r="E25" s="14">
        <f t="shared" si="5"/>
        <v>10181.797554431134</v>
      </c>
      <c r="F25" s="44" cm="1">
        <f t="array" ref="F25">TREND(F18:F24,(VALUE(RIGHT(A18:A24,4))),VALUE(RIGHT(A25,4)))</f>
        <v>0.28881887351080815</v>
      </c>
      <c r="G25" s="14">
        <f t="shared" si="6"/>
        <v>8595.4023013097867</v>
      </c>
      <c r="H25" s="14">
        <f t="shared" si="7"/>
        <v>7263.1149446067693</v>
      </c>
      <c r="I25" s="14"/>
      <c r="K25" s="14">
        <f t="shared" si="8"/>
        <v>7641.8879985543881</v>
      </c>
      <c r="M25" s="14"/>
      <c r="O25" s="15" cm="1">
        <f t="array" ref="O25">TREND(O18:O24,(VALUE(RIGHT(A18:A24,4))),VALUE(RIGHT(A25,4)))</f>
        <v>2.5986673930370019E-2</v>
      </c>
      <c r="P25" s="14" cm="1">
        <f t="array" ref="P25">TREND(P18:P24,(VALUE(RIGHT(A18:A24,4))),VALUE(RIGHT(A25,4)))</f>
        <v>8862.8483370025642</v>
      </c>
      <c r="Q25" s="15">
        <f t="shared" si="3"/>
        <v>0.25140530040063597</v>
      </c>
      <c r="R25" s="14">
        <f t="shared" si="2"/>
        <v>291.50806211703457</v>
      </c>
      <c r="S25">
        <v>5</v>
      </c>
    </row>
    <row r="26" spans="1:22" x14ac:dyDescent="0.25">
      <c r="A26" s="70" t="s">
        <v>2126</v>
      </c>
      <c r="B26" s="71">
        <f t="shared" si="4"/>
        <v>36310.824682555292</v>
      </c>
      <c r="C26" s="72">
        <v>0.03</v>
      </c>
      <c r="D26" s="73"/>
      <c r="E26" s="71">
        <f t="shared" si="5"/>
        <v>10460.417093193069</v>
      </c>
      <c r="F26" s="74" cm="1">
        <f t="array" ref="F26">TREND(F19:F25,(VALUE(RIGHT(A19:A25,4))),VALUE(RIGHT(A26,4)))</f>
        <v>0.28807985455143181</v>
      </c>
      <c r="G26" s="71">
        <f t="shared" si="6"/>
        <v>8826.429982478081</v>
      </c>
      <c r="H26" s="71">
        <f t="shared" si="7"/>
        <v>7458.3333351939782</v>
      </c>
      <c r="I26" s="71"/>
      <c r="J26" s="71"/>
      <c r="K26" s="71">
        <f t="shared" si="8"/>
        <v>8144.6284653940547</v>
      </c>
      <c r="L26" s="73"/>
      <c r="M26" s="71"/>
      <c r="N26" s="73"/>
      <c r="O26" s="72" cm="1">
        <f t="array" ref="O26">TREND(O19:O25,(VALUE(RIGHT(A19:A25,4))),VALUE(RIGHT(A26,4)))</f>
        <v>2.4202131414695849E-2</v>
      </c>
      <c r="P26" s="71" cm="1">
        <f t="array" ref="P26">TREND(P19:P25,(VALUE(RIGHT(A19:A25,4))),VALUE(RIGHT(A26,4)))</f>
        <v>8931.7409667742904</v>
      </c>
      <c r="Q26" s="72">
        <f t="shared" si="3"/>
        <v>0.24598011873482295</v>
      </c>
      <c r="R26" s="71">
        <f t="shared" si="2"/>
        <v>68.892629771726206</v>
      </c>
      <c r="S26" s="73">
        <v>6</v>
      </c>
    </row>
    <row r="27" spans="1:22" x14ac:dyDescent="0.25">
      <c r="K27" s="69" t="s">
        <v>2135</v>
      </c>
      <c r="L27" s="69" t="s">
        <v>2099</v>
      </c>
      <c r="M27" s="108" t="s">
        <v>2145</v>
      </c>
      <c r="N27" s="108"/>
      <c r="O27" s="108"/>
    </row>
    <row r="28" spans="1:22" x14ac:dyDescent="0.25">
      <c r="I28" s="14"/>
      <c r="J28" s="48" t="s">
        <v>2096</v>
      </c>
      <c r="K28" s="14" cm="1">
        <f t="array" aca="1" ref="K28:K33" ca="1">ProjFCFs/(1+'WACC Dashboard'!B16)^t</f>
        <v>5910.7939385583977</v>
      </c>
    </row>
    <row r="29" spans="1:22" x14ac:dyDescent="0.25">
      <c r="I29" s="14"/>
      <c r="J29" s="48" t="s">
        <v>2095</v>
      </c>
      <c r="K29" s="14">
        <f ca="1"/>
        <v>4703.1443238351558</v>
      </c>
    </row>
    <row r="30" spans="1:22" x14ac:dyDescent="0.25">
      <c r="I30" s="14"/>
      <c r="J30" s="48" t="s">
        <v>2118</v>
      </c>
      <c r="K30" s="14">
        <f ca="1"/>
        <v>4965.9029754684534</v>
      </c>
    </row>
    <row r="31" spans="1:22" x14ac:dyDescent="0.25">
      <c r="I31" s="14"/>
      <c r="J31" s="48" t="s">
        <v>2119</v>
      </c>
      <c r="K31" s="14">
        <f ca="1"/>
        <v>4800.4044804469613</v>
      </c>
    </row>
    <row r="32" spans="1:22" x14ac:dyDescent="0.25">
      <c r="I32" s="14"/>
      <c r="J32" s="48" t="s">
        <v>2120</v>
      </c>
      <c r="K32" s="14">
        <f ca="1"/>
        <v>5022.2540492409362</v>
      </c>
    </row>
    <row r="33" spans="9:19" x14ac:dyDescent="0.25">
      <c r="I33" s="14"/>
      <c r="J33" s="55" t="s">
        <v>2126</v>
      </c>
      <c r="K33" s="14">
        <f ca="1"/>
        <v>4921.6291836048022</v>
      </c>
      <c r="L33" s="14">
        <f ca="1">SUM(K28:K32)+(K34/(1+'WACC Dashboard'!B16)^5)</f>
        <v>118366.11610509313</v>
      </c>
      <c r="M33" s="14"/>
      <c r="N33" s="14"/>
    </row>
    <row r="34" spans="9:19" x14ac:dyDescent="0.25">
      <c r="J34" s="69" t="s">
        <v>2136</v>
      </c>
      <c r="K34" s="14">
        <f ca="1">K26/('WACC Dashboard'!B16-'DCF Dashboard'!C32)</f>
        <v>141453.92427917078</v>
      </c>
    </row>
    <row r="38" spans="9:19" x14ac:dyDescent="0.25">
      <c r="K38" s="69" t="s">
        <v>2100</v>
      </c>
      <c r="L38" s="69" t="s">
        <v>2099</v>
      </c>
      <c r="N38" s="47" t="s">
        <v>2115</v>
      </c>
      <c r="Q38" s="69" t="s">
        <v>2142</v>
      </c>
      <c r="R38" s="69" t="s">
        <v>2143</v>
      </c>
      <c r="S38" s="69" t="s">
        <v>2144</v>
      </c>
    </row>
    <row r="39" spans="9:19" x14ac:dyDescent="0.25">
      <c r="J39" s="55" t="s">
        <v>2096</v>
      </c>
      <c r="K39" s="56">
        <v>5415.5249999999996</v>
      </c>
      <c r="L39" s="56">
        <f ca="1">R39+S39</f>
        <v>91461.070688773601</v>
      </c>
      <c r="M39" s="56"/>
      <c r="N39" s="56">
        <f ca="1">L39-'DCF Dashboard'!C3</f>
        <v>82267.784974487877</v>
      </c>
      <c r="O39" s="57"/>
      <c r="P39" s="57"/>
      <c r="Q39" s="56">
        <f ca="1">K39/('WACC Dashboard'!B16-'Master Data'!O46)</f>
        <v>94055.519725281076</v>
      </c>
      <c r="R39" s="56">
        <f ca="1">Q39/(1+'WACC Dashboard'!B16)</f>
        <v>86481.634550249408</v>
      </c>
      <c r="S39" s="56">
        <f ca="1">K39/(1+'WACC Dashboard'!B16)</f>
        <v>4979.43613852419</v>
      </c>
    </row>
    <row r="40" spans="9:19" x14ac:dyDescent="0.25">
      <c r="J40" s="48" t="s">
        <v>2095</v>
      </c>
      <c r="K40" s="14">
        <f>K39*(1+O46)</f>
        <v>5577.9907499999999</v>
      </c>
      <c r="L40" s="14">
        <f ca="1">R40+S40</f>
        <v>94204.902809436811</v>
      </c>
      <c r="M40" s="14"/>
      <c r="N40" s="14">
        <f ca="1">L40-'DCF Dashboard'!C3</f>
        <v>85011.617095151087</v>
      </c>
      <c r="Q40" s="14">
        <f ca="1">K40/('WACC Dashboard'!B16-'Master Data'!O46)</f>
        <v>96877.185317039519</v>
      </c>
      <c r="R40" s="14">
        <f ca="1">Q40/(1+'WACC Dashboard'!B16)</f>
        <v>89076.083586756897</v>
      </c>
      <c r="S40" s="14">
        <f ca="1">K40/(1+'WACC Dashboard'!B16)</f>
        <v>5128.8192226799156</v>
      </c>
    </row>
    <row r="41" spans="9:19" x14ac:dyDescent="0.25">
      <c r="K41" s="108" t="s">
        <v>2117</v>
      </c>
      <c r="L41" s="108"/>
      <c r="M41" s="108"/>
      <c r="N41" s="108"/>
      <c r="O41" s="108"/>
      <c r="P41" s="108"/>
    </row>
    <row r="42" spans="9:19" x14ac:dyDescent="0.25">
      <c r="O42" s="63">
        <v>0.08</v>
      </c>
    </row>
    <row r="43" spans="9:19" x14ac:dyDescent="0.25">
      <c r="O43" s="63">
        <v>7.0000000000000007E-2</v>
      </c>
    </row>
    <row r="44" spans="9:19" x14ac:dyDescent="0.25">
      <c r="O44" s="63">
        <v>0.06</v>
      </c>
    </row>
    <row r="45" spans="9:19" x14ac:dyDescent="0.25">
      <c r="O45" s="63">
        <v>0.05</v>
      </c>
    </row>
    <row r="46" spans="9:19" x14ac:dyDescent="0.25">
      <c r="O46" s="63">
        <v>0.03</v>
      </c>
    </row>
  </sheetData>
  <mergeCells count="3">
    <mergeCell ref="K41:P41"/>
    <mergeCell ref="M11:O11"/>
    <mergeCell ref="M27:O27"/>
  </mergeCells>
  <phoneticPr fontId="30" type="noConversion"/>
  <conditionalFormatting sqref="O2:P10">
    <cfRule type="cellIs" dxfId="3" priority="1" operator="greaterThan">
      <formula>0.5</formula>
    </cfRule>
  </conditionalFormatting>
  <conditionalFormatting sqref="Q2:Q10">
    <cfRule type="cellIs" dxfId="2" priority="2" operator="greaterThan">
      <formula>0.4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50B9-3A01-4D46-9CD7-9CD1F8C72547}">
  <sheetPr codeName="Sheet5"/>
  <dimension ref="A1:AH49"/>
  <sheetViews>
    <sheetView zoomScale="93" zoomScaleNormal="93" workbookViewId="0">
      <pane ySplit="1" topLeftCell="A2" activePane="bottomLeft" state="frozen"/>
      <selection pane="bottomLeft" activeCell="T24" sqref="T24"/>
    </sheetView>
  </sheetViews>
  <sheetFormatPr defaultRowHeight="15" outlineLevelRow="1" x14ac:dyDescent="0.25"/>
  <cols>
    <col min="1" max="1" width="7.85546875" bestFit="1" customWidth="1"/>
    <col min="2" max="2" width="18.140625" bestFit="1" customWidth="1"/>
    <col min="3" max="3" width="21.140625" style="15" bestFit="1" customWidth="1"/>
    <col min="4" max="4" width="16.7109375" style="15" bestFit="1" customWidth="1"/>
    <col min="5" max="5" width="16" bestFit="1" customWidth="1"/>
    <col min="6" max="6" width="16.7109375" style="15" bestFit="1" customWidth="1"/>
    <col min="7" max="7" width="12.85546875" bestFit="1" customWidth="1"/>
    <col min="8" max="8" width="20" bestFit="1" customWidth="1"/>
    <col min="9" max="10" width="12.85546875" bestFit="1" customWidth="1"/>
    <col min="11" max="11" width="13.140625" bestFit="1" customWidth="1"/>
    <col min="12" max="12" width="13.85546875" bestFit="1" customWidth="1"/>
    <col min="13" max="13" width="13.140625" bestFit="1" customWidth="1"/>
    <col min="14" max="14" width="17.7109375" bestFit="1" customWidth="1"/>
    <col min="15" max="15" width="14.7109375" style="15" bestFit="1" customWidth="1"/>
    <col min="16" max="16" width="10" style="15" bestFit="1" customWidth="1"/>
    <col min="18" max="18" width="17.5703125" bestFit="1" customWidth="1"/>
    <col min="19" max="19" width="31.5703125" bestFit="1" customWidth="1"/>
    <col min="20" max="20" width="17.28515625" bestFit="1" customWidth="1"/>
    <col min="21" max="21" width="13.85546875" bestFit="1" customWidth="1"/>
    <col min="22" max="22" width="16" bestFit="1" customWidth="1"/>
    <col min="23" max="23" width="16.7109375" bestFit="1" customWidth="1"/>
    <col min="24" max="24" width="8.28515625" bestFit="1" customWidth="1"/>
    <col min="25" max="25" width="11" bestFit="1" customWidth="1"/>
    <col min="26" max="26" width="13.85546875" bestFit="1" customWidth="1"/>
    <col min="27" max="27" width="13.140625" bestFit="1" customWidth="1"/>
  </cols>
  <sheetData>
    <row r="1" spans="1:34" outlineLevel="1" x14ac:dyDescent="0.25">
      <c r="A1" s="47" t="s">
        <v>2108</v>
      </c>
      <c r="B1" s="47" t="s">
        <v>2107</v>
      </c>
      <c r="C1" s="96" t="s">
        <v>2106</v>
      </c>
      <c r="D1" s="96" t="s">
        <v>2105</v>
      </c>
      <c r="E1" s="47" t="s">
        <v>2104</v>
      </c>
      <c r="F1" s="96" t="s">
        <v>2103</v>
      </c>
      <c r="G1" s="47" t="s">
        <v>2121</v>
      </c>
      <c r="H1" s="47" t="s">
        <v>2102</v>
      </c>
      <c r="I1" s="47" t="s">
        <v>2101</v>
      </c>
      <c r="J1" s="47" t="s">
        <v>2100</v>
      </c>
      <c r="K1" s="47" t="s">
        <v>2099</v>
      </c>
      <c r="L1" s="47" t="s">
        <v>2130</v>
      </c>
      <c r="M1" s="47" t="s">
        <v>2115</v>
      </c>
      <c r="N1" s="92" t="s">
        <v>2098</v>
      </c>
      <c r="O1" s="96" t="s">
        <v>2097</v>
      </c>
      <c r="P1" s="96" t="s">
        <v>2155</v>
      </c>
      <c r="R1" t="s">
        <v>2178</v>
      </c>
      <c r="S1" s="47" t="s">
        <v>2108</v>
      </c>
      <c r="T1" s="47" t="s">
        <v>2107</v>
      </c>
      <c r="U1" s="96" t="s">
        <v>2106</v>
      </c>
      <c r="V1" s="47" t="s">
        <v>2104</v>
      </c>
      <c r="W1" s="96" t="s">
        <v>2103</v>
      </c>
      <c r="X1" s="47" t="s">
        <v>2101</v>
      </c>
      <c r="Y1" s="47" t="s">
        <v>2100</v>
      </c>
      <c r="Z1" s="47" t="s">
        <v>2130</v>
      </c>
      <c r="AA1" s="47" t="s">
        <v>2115</v>
      </c>
      <c r="AB1" s="47"/>
    </row>
    <row r="2" spans="1:34" outlineLevel="1" x14ac:dyDescent="0.25">
      <c r="A2" s="51" t="s">
        <v>1697</v>
      </c>
      <c r="B2" s="53">
        <f>_xlfn.XLOOKUP("*"&amp;A2&amp;"*",'BBG Adj Highlights'!$C$4:$L$4,'BBG Adj Highlights'!$C$12:$L$12, , 2)</f>
        <v>14884</v>
      </c>
      <c r="C2" s="52">
        <f>_xlfn.XLOOKUP("*"&amp;A2&amp;"*",'BBG Adj Highlights'!$C$4:$L$4,'BBG Adj Highlights'!$C$13:$L$13, , 2)/100</f>
        <v>9.4330999999999998E-2</v>
      </c>
      <c r="D2" s="52">
        <f>_xlfn.XLOOKUP("*"&amp;RIGHT(A2,4)&amp;"*", SYK!$E$3:$N$3, SYK!$E$27:$N$27,,2)/100</f>
        <v>0.65900000000000003</v>
      </c>
      <c r="E2" s="53">
        <f>_xlfn.XLOOKUP("*"&amp;A2&amp;"*",'BBG Adj Highlights'!$C$4:$L$4,'BBG Adj Highlights'!$C$16:$L$16,,2)</f>
        <v>4355</v>
      </c>
      <c r="F2" s="52">
        <f>_xlfn.XLOOKUP("*"&amp;A2&amp;"*",'BBG Adj Highlights'!$C$4:$L$4,'BBG Adj Highlights'!$C$17:$L$17,,2) /100</f>
        <v>0.29259607632356899</v>
      </c>
      <c r="G2" s="53">
        <f>_xlfn.XLOOKUP("*"&amp;A2&amp;"*",'BBG Adjusted'!$C$4:$L$4,'BBG Adjusted'!$C$65:$L$65,,2)</f>
        <v>3444</v>
      </c>
      <c r="H2" s="53">
        <f>_xlfn.XLOOKUP("*"&amp;A2&amp;"*",'BBG Adj Highlights'!$C$4:$L$4,'BBG Adj Highlights'!$C$18:$L$18,,2)</f>
        <v>2764</v>
      </c>
      <c r="I2" s="53">
        <f>_xlfn.XLOOKUP("*"&amp;A2&amp;"*",'BBG Adj Highlights'!$C$4:$L$4,'BBG Adj Highlights'!$C$20:$L$20,,2)</f>
        <v>7.2725999999999997</v>
      </c>
      <c r="J2" s="53">
        <f>_xlfn.XLOOKUP("*"&amp;A2&amp;"*",'BBG Adj Highlights'!$C$4:$L$4,'BBG Adj Highlights'!$C$25:$L$25,,2)</f>
        <v>1542</v>
      </c>
      <c r="K2" s="53">
        <f>_xlfn.XLOOKUP("*"&amp;A2&amp;"*",'BBG Adj Highlights'!$C$4:$L$4,'BBG Adj Highlights'!$C$10:$L$10,,2)</f>
        <v>85690.305900000007</v>
      </c>
      <c r="L2" s="53">
        <f>_xlfn.XLOOKUP("*"&amp;RIGHT(A2,4)&amp;"*", SYK!$E$3:$N$3, SYK!$E$31:$N$31,,2)</f>
        <v>6665</v>
      </c>
      <c r="M2" s="53">
        <f>_xlfn.XLOOKUP("*"&amp;A2&amp;"*",'BBG Adj Highlights'!$C$4:$L$4,'BBG Adj Highlights'!$C$6:$L$6, , 2)</f>
        <v>78638.305900000007</v>
      </c>
      <c r="N2" s="93">
        <f>_xlfn.XLOOKUP("*"&amp;A2&amp;"*",Segments!$E$3:$N$3,Segments!$E$7:$N$7,,2)/100</f>
        <v>0.44654363649731638</v>
      </c>
      <c r="O2" s="52">
        <f>1-N2</f>
        <v>0.55345636350268368</v>
      </c>
      <c r="P2" s="15">
        <f t="shared" ref="P2:P10" si="0">SUM(C2,F2)</f>
        <v>0.38692707632356899</v>
      </c>
      <c r="S2" s="51" t="s">
        <v>1697</v>
      </c>
      <c r="T2" s="53">
        <v>14884</v>
      </c>
      <c r="U2" s="52">
        <v>9.4330999999999998E-2</v>
      </c>
      <c r="V2" s="53">
        <v>4355</v>
      </c>
      <c r="W2" s="52">
        <v>0.29259607632356899</v>
      </c>
      <c r="X2" s="53">
        <v>7.2725999999999997</v>
      </c>
      <c r="Y2" s="53">
        <v>1542</v>
      </c>
      <c r="Z2" s="53">
        <v>6665</v>
      </c>
      <c r="AA2" s="53">
        <v>78638.305900000007</v>
      </c>
      <c r="AB2" s="47"/>
      <c r="AC2" s="47"/>
      <c r="AG2" s="96"/>
      <c r="AH2" s="96"/>
    </row>
    <row r="3" spans="1:34" outlineLevel="1" x14ac:dyDescent="0.25">
      <c r="A3" s="51" t="s">
        <v>1696</v>
      </c>
      <c r="B3" s="53">
        <v>14351</v>
      </c>
      <c r="C3" s="52">
        <v>-3.5810000000000002E-2</v>
      </c>
      <c r="D3" s="52">
        <v>0.63800000000000001</v>
      </c>
      <c r="E3" s="53">
        <v>3969</v>
      </c>
      <c r="F3" s="52">
        <v>0.27656609295519502</v>
      </c>
      <c r="G3" s="53">
        <v>3027</v>
      </c>
      <c r="H3" s="53">
        <v>2446</v>
      </c>
      <c r="I3" s="53">
        <v>6.4272</v>
      </c>
      <c r="J3" s="53">
        <v>2790</v>
      </c>
      <c r="K3" s="53">
        <v>103585.2788</v>
      </c>
      <c r="L3" s="53">
        <f>_xlfn.XLOOKUP("*"&amp;RIGHT(A3,4)&amp;"*", SYK!$E$3:$N$3, SYK!$E$31:$N$31,,2)</f>
        <v>10967</v>
      </c>
      <c r="M3" s="53">
        <v>92184.2788</v>
      </c>
      <c r="N3" s="93">
        <v>0.56940338618650899</v>
      </c>
      <c r="O3" s="52">
        <v>0.43059661381349101</v>
      </c>
      <c r="P3" s="15">
        <f t="shared" si="0"/>
        <v>0.24075609295519501</v>
      </c>
      <c r="S3" s="51" t="s">
        <v>1696</v>
      </c>
      <c r="T3" s="53">
        <v>14351</v>
      </c>
      <c r="U3" s="52">
        <v>-3.5810000000000002E-2</v>
      </c>
      <c r="V3" s="53">
        <v>3969</v>
      </c>
      <c r="W3" s="52">
        <v>0.27656609295519502</v>
      </c>
      <c r="X3" s="53">
        <v>6.4272</v>
      </c>
      <c r="Y3" s="53">
        <v>2790</v>
      </c>
      <c r="Z3" s="53">
        <v>10967</v>
      </c>
      <c r="AA3" s="53">
        <v>92184.2788</v>
      </c>
      <c r="AB3" s="53"/>
      <c r="AC3" s="53"/>
      <c r="AG3" s="52"/>
      <c r="AH3" s="15"/>
    </row>
    <row r="4" spans="1:34" outlineLevel="1" x14ac:dyDescent="0.25">
      <c r="A4" s="51" t="s">
        <v>1695</v>
      </c>
      <c r="B4" s="53">
        <v>17108</v>
      </c>
      <c r="C4" s="52">
        <v>0.192112</v>
      </c>
      <c r="D4" s="52">
        <v>0.6409999999999999</v>
      </c>
      <c r="E4" s="53">
        <v>4886</v>
      </c>
      <c r="F4" s="52">
        <v>0.28559738134206197</v>
      </c>
      <c r="G4" s="53">
        <v>3763</v>
      </c>
      <c r="H4" s="53">
        <v>2985</v>
      </c>
      <c r="I4" s="53">
        <v>7.8022</v>
      </c>
      <c r="J4" s="53">
        <v>2738</v>
      </c>
      <c r="K4" s="53">
        <v>110844.9999</v>
      </c>
      <c r="L4" s="53">
        <f>_xlfn.XLOOKUP("*"&amp;RIGHT(A4,4)&amp;"*", SYK!$E$3:$N$3, SYK!$E$31:$N$31,,2)</f>
        <v>9460</v>
      </c>
      <c r="M4" s="53">
        <v>100962.9999</v>
      </c>
      <c r="N4" s="93">
        <v>0.58149257891436135</v>
      </c>
      <c r="O4" s="52">
        <v>0.41850742108563865</v>
      </c>
      <c r="P4" s="15">
        <f t="shared" si="0"/>
        <v>0.47770938134206198</v>
      </c>
      <c r="S4" s="51" t="s">
        <v>1695</v>
      </c>
      <c r="T4" s="53">
        <v>17108</v>
      </c>
      <c r="U4" s="52">
        <v>0.192112</v>
      </c>
      <c r="V4" s="53">
        <v>4886</v>
      </c>
      <c r="W4" s="52">
        <v>0.28559738134206197</v>
      </c>
      <c r="X4" s="53">
        <v>7.8022</v>
      </c>
      <c r="Y4" s="53">
        <v>2738</v>
      </c>
      <c r="Z4" s="53">
        <v>9460</v>
      </c>
      <c r="AA4" s="53">
        <v>100962.9999</v>
      </c>
      <c r="AB4" s="53"/>
      <c r="AC4" s="53"/>
      <c r="AG4" s="52"/>
      <c r="AH4" s="15"/>
    </row>
    <row r="5" spans="1:34" outlineLevel="1" x14ac:dyDescent="0.25">
      <c r="A5" s="51" t="s">
        <v>1694</v>
      </c>
      <c r="B5" s="53">
        <v>18449</v>
      </c>
      <c r="C5" s="52">
        <v>7.8383999999999995E-2</v>
      </c>
      <c r="D5" s="52">
        <v>0.63100000000000001</v>
      </c>
      <c r="E5" s="53">
        <v>4904</v>
      </c>
      <c r="F5" s="52">
        <v>0.265813865250149</v>
      </c>
      <c r="G5" s="53">
        <v>3757</v>
      </c>
      <c r="H5" s="53">
        <v>3076</v>
      </c>
      <c r="I5" s="53">
        <v>8.0486000000000004</v>
      </c>
      <c r="J5" s="53">
        <v>2036</v>
      </c>
      <c r="K5" s="53">
        <v>104218.45209999999</v>
      </c>
      <c r="L5" s="53">
        <f>_xlfn.XLOOKUP("*"&amp;RIGHT(A5,4)&amp;"*", SYK!$E$3:$N$3, SYK!$E$31:$N$31,,2)</f>
        <v>11120</v>
      </c>
      <c r="M5" s="53">
        <v>92620.452099999995</v>
      </c>
      <c r="N5" s="93">
        <v>0.55751695113397237</v>
      </c>
      <c r="O5" s="52">
        <v>0.44248304886602763</v>
      </c>
      <c r="P5" s="15">
        <f t="shared" si="0"/>
        <v>0.344197865250149</v>
      </c>
      <c r="S5" s="51" t="s">
        <v>1694</v>
      </c>
      <c r="T5" s="53">
        <v>18449</v>
      </c>
      <c r="U5" s="52">
        <v>7.8383999999999995E-2</v>
      </c>
      <c r="V5" s="53">
        <v>4904</v>
      </c>
      <c r="W5" s="52">
        <v>0.265813865250149</v>
      </c>
      <c r="X5" s="53">
        <v>8.0486000000000004</v>
      </c>
      <c r="Y5" s="53">
        <v>2036</v>
      </c>
      <c r="Z5" s="53">
        <v>11120</v>
      </c>
      <c r="AA5" s="53">
        <v>92620.452099999995</v>
      </c>
      <c r="AB5" s="53"/>
      <c r="AC5" s="53"/>
      <c r="AG5" s="52"/>
      <c r="AH5" s="15"/>
    </row>
    <row r="6" spans="1:34" outlineLevel="1" x14ac:dyDescent="0.25">
      <c r="A6" s="51" t="s">
        <v>1693</v>
      </c>
      <c r="B6" s="53">
        <v>20498</v>
      </c>
      <c r="C6" s="52">
        <v>0.111063</v>
      </c>
      <c r="D6" s="52">
        <v>0.63900000000000001</v>
      </c>
      <c r="E6" s="53">
        <v>5520</v>
      </c>
      <c r="F6" s="52">
        <v>0.26929456532344598</v>
      </c>
      <c r="G6" s="53">
        <v>4320</v>
      </c>
      <c r="H6" s="53">
        <v>3563</v>
      </c>
      <c r="I6" s="53">
        <v>9.2873000000000001</v>
      </c>
      <c r="J6" s="53">
        <v>3136</v>
      </c>
      <c r="K6" s="53">
        <v>124314.8682</v>
      </c>
      <c r="L6" s="53">
        <f>_xlfn.XLOOKUP("*"&amp;RIGHT(A6,4)&amp;"*", SYK!$E$3:$N$3, SYK!$E$31:$N$31,,2)</f>
        <v>9942</v>
      </c>
      <c r="M6" s="53">
        <v>113873.8682</v>
      </c>
      <c r="N6" s="93">
        <v>0.59043850615209492</v>
      </c>
      <c r="O6" s="52">
        <v>0.40956149384790508</v>
      </c>
      <c r="P6" s="15">
        <f t="shared" si="0"/>
        <v>0.380357565323446</v>
      </c>
      <c r="S6" s="51" t="s">
        <v>1693</v>
      </c>
      <c r="T6" s="53">
        <v>20498</v>
      </c>
      <c r="U6" s="52">
        <v>0.111063</v>
      </c>
      <c r="V6" s="53">
        <v>5520</v>
      </c>
      <c r="W6" s="52">
        <v>0.26929456532344598</v>
      </c>
      <c r="X6" s="53">
        <v>9.2873000000000001</v>
      </c>
      <c r="Y6" s="53">
        <v>3136</v>
      </c>
      <c r="Z6" s="53">
        <v>9942</v>
      </c>
      <c r="AA6" s="53">
        <v>113873.8682</v>
      </c>
      <c r="AB6" s="53"/>
      <c r="AC6" s="53"/>
      <c r="AG6" s="52"/>
      <c r="AH6" s="15"/>
    </row>
    <row r="7" spans="1:34" outlineLevel="1" x14ac:dyDescent="0.25">
      <c r="A7" s="51" t="s">
        <v>1692</v>
      </c>
      <c r="B7" s="53">
        <v>22595</v>
      </c>
      <c r="C7" s="52">
        <v>0.10230299999999999</v>
      </c>
      <c r="D7" s="52">
        <v>0.64461163999999993</v>
      </c>
      <c r="E7" s="53">
        <v>6332</v>
      </c>
      <c r="F7" s="52">
        <v>0.28023899092719601</v>
      </c>
      <c r="G7" s="53">
        <v>5092</v>
      </c>
      <c r="H7" s="53">
        <v>4205</v>
      </c>
      <c r="I7" s="53">
        <v>10.9032</v>
      </c>
      <c r="J7" s="53">
        <v>3487</v>
      </c>
      <c r="K7" s="53">
        <v>146950.07</v>
      </c>
      <c r="L7" s="53">
        <f>_xlfn.XLOOKUP("*"&amp;RIGHT(A7,4)&amp;"*", SYK!$E$3:$N$3, SYK!$E$31:$N$31,,2)</f>
        <v>9104</v>
      </c>
      <c r="M7" s="53">
        <v>137323.07</v>
      </c>
      <c r="N7" s="93">
        <v>0.59337496341106455</v>
      </c>
      <c r="O7" s="52">
        <v>0.40662503658893551</v>
      </c>
      <c r="P7" s="15">
        <f t="shared" si="0"/>
        <v>0.38254199092719599</v>
      </c>
      <c r="S7" s="51" t="s">
        <v>1692</v>
      </c>
      <c r="T7" s="53">
        <v>22595</v>
      </c>
      <c r="U7" s="52">
        <v>0.10230299999999999</v>
      </c>
      <c r="V7" s="53">
        <v>6332</v>
      </c>
      <c r="W7" s="52">
        <v>0.28023899092719601</v>
      </c>
      <c r="X7" s="53">
        <v>10.9032</v>
      </c>
      <c r="Y7" s="53">
        <v>3487</v>
      </c>
      <c r="Z7" s="53">
        <v>9104</v>
      </c>
      <c r="AA7" s="53">
        <v>137323.07</v>
      </c>
      <c r="AB7" s="53"/>
      <c r="AC7" s="53"/>
      <c r="AG7" s="52"/>
      <c r="AH7" s="15"/>
    </row>
    <row r="8" spans="1:34" outlineLevel="1" x14ac:dyDescent="0.25">
      <c r="A8" s="51" t="s">
        <v>1691</v>
      </c>
      <c r="B8" s="53">
        <v>25116</v>
      </c>
      <c r="C8" s="52">
        <v>0.11157299999999999</v>
      </c>
      <c r="D8" s="52">
        <v>0.65300000000000002</v>
      </c>
      <c r="E8" s="53">
        <v>7269</v>
      </c>
      <c r="F8" s="52">
        <v>0.28941710463449599</v>
      </c>
      <c r="G8" s="53">
        <v>5871</v>
      </c>
      <c r="H8" s="53">
        <v>4686</v>
      </c>
      <c r="I8" s="53">
        <v>12.1257</v>
      </c>
      <c r="J8" s="53">
        <v>4283</v>
      </c>
      <c r="K8" s="53">
        <v>146697.27499999999</v>
      </c>
      <c r="L8" s="53">
        <f>_xlfn.XLOOKUP("*"&amp;RIGHT(A8,4)&amp;"*", SYK!$E$3:$N$3, SYK!$E$31:$N$31,,2)</f>
        <v>11759</v>
      </c>
      <c r="M8" s="65">
        <v>134437.27499999999</v>
      </c>
      <c r="N8" s="93">
        <v>0.59827395441469344</v>
      </c>
      <c r="O8" s="52">
        <v>0.4017260455853065</v>
      </c>
      <c r="P8" s="15">
        <f t="shared" si="0"/>
        <v>0.40099010463449597</v>
      </c>
      <c r="S8" s="51" t="s">
        <v>1691</v>
      </c>
      <c r="T8" s="53">
        <v>25116</v>
      </c>
      <c r="U8" s="52">
        <v>0.11157299999999999</v>
      </c>
      <c r="V8" s="53">
        <v>7269</v>
      </c>
      <c r="W8" s="52">
        <v>0.28941710463449599</v>
      </c>
      <c r="X8" s="53">
        <v>12.1257</v>
      </c>
      <c r="Y8" s="53">
        <v>4283</v>
      </c>
      <c r="Z8" s="53">
        <v>11759</v>
      </c>
      <c r="AA8" s="65">
        <v>134437.27499999999</v>
      </c>
      <c r="AB8" s="53"/>
      <c r="AC8" s="53"/>
      <c r="AG8" s="52"/>
      <c r="AH8" s="15"/>
    </row>
    <row r="9" spans="1:34" outlineLevel="1" x14ac:dyDescent="0.25">
      <c r="A9" s="51" t="s">
        <v>2096</v>
      </c>
      <c r="B9" s="53">
        <f>_xlfn.XLOOKUP("*"&amp;A9&amp;"*",'BBG Adj Highlights'!$C$4:$L$4,'BBG Adj Highlights'!$C$12:$L$12, , 2)</f>
        <v>27317.214285714301</v>
      </c>
      <c r="C9" s="52">
        <f>_xlfn.XLOOKUP("*"&amp;A9&amp;"*",'BBG Adj Highlights'!$C$4:$L$4,'BBG Adj Highlights'!$C$13:$L$13, , 2)/100</f>
        <v>8.7641912952471993E-2</v>
      </c>
      <c r="D9" s="52">
        <f>_xlfn.XLOOKUP("*"&amp;RIGHT(A9,4)&amp;"*", SYK!$E$3:$N$3, SYK!$E$27:$N$27,,2)/100</f>
        <v>0.65211765350769568</v>
      </c>
      <c r="E9" s="53">
        <f>_xlfn.XLOOKUP("*"&amp;A9&amp;"*",'BBG Adj Highlights'!$C$4:$L$4,'BBG Adj Highlights'!$C$16:$L$16,,2)</f>
        <v>7838.9166666666697</v>
      </c>
      <c r="F9" s="52">
        <f>_xlfn.XLOOKUP("*"&amp;A9&amp;"*",'BBG Adj Highlights'!$C$4:$L$4,'BBG Adj Highlights'!$C$17:$L$17,,2) /100</f>
        <v>0.28695885988514097</v>
      </c>
      <c r="G9" s="53">
        <f>_xlfn.XLOOKUP("*"&amp;A9&amp;"*",'BBG Adjusted'!$C$4:$L$4,'BBG Adjusted'!$C$65:$L$65,,2)</f>
        <v>7296.6923076923104</v>
      </c>
      <c r="H9" s="53">
        <f>_xlfn.XLOOKUP("*"&amp;A9&amp;"*",'BBG Adj Highlights'!$C$4:$L$4,'BBG Adj Highlights'!$C$18:$L$18,,2)</f>
        <v>5814.8329999999996</v>
      </c>
      <c r="I9" s="53">
        <f>_xlfn.XLOOKUP("*"&amp;A9&amp;"*",'BBG Adj Highlights'!$C$4:$L$4,'BBG Adj Highlights'!$C$20:$L$20,,2)</f>
        <v>15.013</v>
      </c>
      <c r="J9" s="53">
        <f>_xlfn.XLOOKUP("*"&amp;A9&amp;"*",'BBG Adj Highlights'!$C$4:$L$4,'BBG Adj Highlights'!$C$25:$L$25,,2)</f>
        <v>5415.5249999999996</v>
      </c>
      <c r="K9" s="53">
        <f>_xlfn.XLOOKUP("*"&amp;A9&amp;"*",'BBG Adj Highlights'!$C$4:$L$4,'BBG Adj Highlights'!$C$10:$L$10,,2)</f>
        <v>0</v>
      </c>
      <c r="L9" s="53">
        <f>_xlfn.XLOOKUP("*"&amp;RIGHT(A9,4)&amp;"*", SYK!$E$3:$N$3, SYK!$E$31:$N$31,,2)</f>
        <v>9193.285714285721</v>
      </c>
      <c r="M9" s="53">
        <f>_xlfn.XLOOKUP("*"&amp;A9&amp;"*",'BBG Adj Highlights'!$C$4:$L$4,'BBG Adj Highlights'!$C$6:$L$6, , 2)</f>
        <v>0</v>
      </c>
      <c r="N9" s="93">
        <f>IFERROR(_xlfn.XLOOKUP("*"&amp;A9&amp;"*",Segments!$E$3:$N$3,Segments!$E$7:$N$7,,2)/100,0)</f>
        <v>0</v>
      </c>
      <c r="O9" s="52">
        <f>IFERROR(_xlfn.XLOOKUP("*"&amp;A9&amp;"*",Segments!$E$3:$N$3,Segments!$E$21:$N$21,,2)/100,0)</f>
        <v>0</v>
      </c>
      <c r="P9" s="15">
        <f t="shared" si="0"/>
        <v>0.37460077283761295</v>
      </c>
      <c r="S9" s="51" t="s">
        <v>2096</v>
      </c>
      <c r="T9" s="53">
        <v>27317.214285714301</v>
      </c>
      <c r="U9" s="52">
        <v>8.7641912952471993E-2</v>
      </c>
      <c r="V9" s="53">
        <v>7838.9166666666697</v>
      </c>
      <c r="W9" s="52">
        <v>0.28695885988514097</v>
      </c>
      <c r="X9" s="53">
        <v>15.013</v>
      </c>
      <c r="Y9" s="53">
        <v>5415.5249999999996</v>
      </c>
      <c r="Z9" s="53">
        <v>9193.285714285721</v>
      </c>
      <c r="AA9" s="53">
        <v>0</v>
      </c>
      <c r="AB9" s="53"/>
      <c r="AC9" s="53"/>
      <c r="AG9" s="52"/>
      <c r="AH9" s="15"/>
    </row>
    <row r="10" spans="1:34" outlineLevel="1" x14ac:dyDescent="0.25">
      <c r="A10" s="51" t="s">
        <v>2095</v>
      </c>
      <c r="B10" s="53">
        <f>_xlfn.XLOOKUP("*"&amp;A10&amp;"*",'BBG Adj Highlights'!$C$4:$L$4,'BBG Adj Highlights'!$C$12:$L$12, , 2)</f>
        <v>29602.892857142899</v>
      </c>
      <c r="C10" s="52">
        <f>_xlfn.XLOOKUP("*"&amp;A10&amp;"*",'BBG Adj Highlights'!$C$4:$L$4,'BBG Adj Highlights'!$C$13:$L$13, , 2)/100</f>
        <v>8.3671729757008192E-2</v>
      </c>
      <c r="D10" s="52">
        <f>_xlfn.XLOOKUP("*"&amp;RIGHT(A10,4)&amp;"*", SYK!$E$3:$N$3, SYK!$E$27:$N$27,,2)/100</f>
        <v>0.65463259946705943</v>
      </c>
      <c r="E10" s="53">
        <f>_xlfn.XLOOKUP("*"&amp;A10&amp;"*",'BBG Adj Highlights'!$C$4:$L$4,'BBG Adj Highlights'!$C$16:$L$16,,2)</f>
        <v>8626.3478260869597</v>
      </c>
      <c r="F10" s="52">
        <f>_xlfn.XLOOKUP("*"&amp;A10&amp;"*",'BBG Adj Highlights'!$C$4:$L$4,'BBG Adj Highlights'!$C$17:$L$17,,2) /100</f>
        <v>0.29140219058035399</v>
      </c>
      <c r="G10" s="53">
        <f>_xlfn.XLOOKUP("*"&amp;A10&amp;"*",'BBG Adjusted'!$C$4:$L$4,'BBG Adjusted'!$C$65:$L$65,,2)</f>
        <v>8076.7692307692296</v>
      </c>
      <c r="H10" s="53">
        <f>_xlfn.XLOOKUP("*"&amp;A10&amp;"*",'BBG Adj Highlights'!$C$4:$L$4,'BBG Adj Highlights'!$C$18:$L$18,,2)</f>
        <v>6484.64</v>
      </c>
      <c r="I10" s="53">
        <f>_xlfn.XLOOKUP("*"&amp;A10&amp;"*",'BBG Adj Highlights'!$C$4:$L$4,'BBG Adj Highlights'!$C$20:$L$20,,2)</f>
        <v>16.745999999999999</v>
      </c>
      <c r="J10" s="53">
        <f>_xlfn.XLOOKUP("*"&amp;A10&amp;"*",'BBG Adj Highlights'!$C$4:$L$4,'BBG Adj Highlights'!$C$25:$L$25,,2)</f>
        <v>5637.65</v>
      </c>
      <c r="K10" s="53">
        <f>_xlfn.XLOOKUP("*"&amp;A10&amp;"*",'BBG Adj Highlights'!$C$4:$L$4,'BBG Adj Highlights'!$C$10:$L$10,,2)</f>
        <v>0</v>
      </c>
      <c r="L10" s="53">
        <f>_xlfn.XLOOKUP("*"&amp;RIGHT(A10,4)&amp;"*", SYK!$E$3:$N$3, SYK!$E$31:$N$31,,2)</f>
        <v>5874.5714285714303</v>
      </c>
      <c r="M10" s="53">
        <f>_xlfn.XLOOKUP("*"&amp;A10&amp;"*",'BBG Adj Highlights'!$C$4:$L$4,'BBG Adj Highlights'!$C$6:$L$6, , 2)</f>
        <v>0</v>
      </c>
      <c r="N10" s="93">
        <f>IFERROR(_xlfn.XLOOKUP("*"&amp;A10&amp;"*",Segments!$E$3:$N$3,Segments!$E$7:$N$7,,2)/100,0)</f>
        <v>0</v>
      </c>
      <c r="O10" s="52">
        <f>IFERROR(_xlfn.XLOOKUP("*"&amp;A10&amp;"*",Segments!$E$3:$N$3,Segments!$E$21:$N$21,,2)/100,0)</f>
        <v>0</v>
      </c>
      <c r="P10" s="15">
        <f t="shared" si="0"/>
        <v>0.3750739203373622</v>
      </c>
      <c r="S10" s="51" t="s">
        <v>2095</v>
      </c>
      <c r="T10" s="53">
        <v>29602.892857142899</v>
      </c>
      <c r="U10" s="52">
        <v>8.3671729757008192E-2</v>
      </c>
      <c r="V10" s="53">
        <v>8626.3478260869597</v>
      </c>
      <c r="W10" s="52">
        <v>0.29140219058035399</v>
      </c>
      <c r="X10" s="53">
        <v>16.745999999999999</v>
      </c>
      <c r="Y10" s="53">
        <v>5637.65</v>
      </c>
      <c r="Z10" s="53">
        <v>5874.5714285714303</v>
      </c>
      <c r="AA10" s="53">
        <v>0</v>
      </c>
      <c r="AB10" s="53"/>
      <c r="AC10" s="53"/>
      <c r="AG10" s="52"/>
      <c r="AH10" s="15"/>
    </row>
    <row r="11" spans="1:34" x14ac:dyDescent="0.25">
      <c r="S11" s="51"/>
      <c r="T11" s="53"/>
      <c r="U11" s="52"/>
      <c r="V11" s="52"/>
      <c r="W11" s="53"/>
      <c r="X11" s="52"/>
      <c r="Y11" s="53"/>
      <c r="Z11" s="53"/>
      <c r="AA11" s="53"/>
      <c r="AB11" s="53"/>
      <c r="AC11" s="53"/>
      <c r="AG11" s="52"/>
      <c r="AH11" s="15"/>
    </row>
    <row r="12" spans="1:34" x14ac:dyDescent="0.25">
      <c r="B12" t="s">
        <v>2167</v>
      </c>
      <c r="R12" t="s">
        <v>2183</v>
      </c>
      <c r="S12" s="47"/>
      <c r="T12" s="47" t="s">
        <v>2107</v>
      </c>
      <c r="U12" s="96" t="s">
        <v>2106</v>
      </c>
      <c r="V12" s="47"/>
      <c r="W12" s="96"/>
      <c r="X12" s="47"/>
      <c r="Y12" s="47"/>
      <c r="Z12" s="47"/>
      <c r="AA12" s="47"/>
    </row>
    <row r="13" spans="1:34" x14ac:dyDescent="0.25">
      <c r="B13" s="14">
        <f>MIN(B2:B10)</f>
        <v>14351</v>
      </c>
      <c r="C13" s="15">
        <f t="shared" ref="C13:P13" si="1">MIN(C2:C10)</f>
        <v>-3.5810000000000002E-2</v>
      </c>
      <c r="D13" s="15">
        <f t="shared" si="1"/>
        <v>0.63100000000000001</v>
      </c>
      <c r="E13" s="14">
        <f t="shared" si="1"/>
        <v>3969</v>
      </c>
      <c r="F13" s="15">
        <f t="shared" si="1"/>
        <v>0.265813865250149</v>
      </c>
      <c r="G13" s="14">
        <f t="shared" si="1"/>
        <v>3027</v>
      </c>
      <c r="H13" s="14">
        <f t="shared" si="1"/>
        <v>2446</v>
      </c>
      <c r="I13" s="14">
        <f t="shared" si="1"/>
        <v>6.4272</v>
      </c>
      <c r="J13" s="14">
        <f t="shared" si="1"/>
        <v>1542</v>
      </c>
      <c r="K13" s="14">
        <f t="shared" si="1"/>
        <v>0</v>
      </c>
      <c r="L13" s="14">
        <f t="shared" si="1"/>
        <v>5874.5714285714303</v>
      </c>
      <c r="M13" s="14">
        <f t="shared" si="1"/>
        <v>0</v>
      </c>
      <c r="N13" s="14"/>
      <c r="O13" s="15">
        <f t="shared" si="1"/>
        <v>0</v>
      </c>
      <c r="P13" s="15">
        <f t="shared" si="1"/>
        <v>0.24075609295519501</v>
      </c>
      <c r="T13" t="s">
        <v>2184</v>
      </c>
      <c r="U13" t="s">
        <v>2185</v>
      </c>
    </row>
    <row r="15" spans="1:34" x14ac:dyDescent="0.25">
      <c r="B15" t="s">
        <v>2168</v>
      </c>
      <c r="S15" t="s">
        <v>2186</v>
      </c>
      <c r="T15">
        <f>DAVERAGE(Table1[#All],9,T12:U13)</f>
        <v>15.8795</v>
      </c>
    </row>
    <row r="16" spans="1:34" x14ac:dyDescent="0.25">
      <c r="B16" s="14">
        <f>MAX(B2:B10)</f>
        <v>29602.892857142899</v>
      </c>
      <c r="C16" s="15">
        <f t="shared" ref="C16:P16" si="2">MAX(C2:C10)</f>
        <v>0.192112</v>
      </c>
      <c r="D16" s="15">
        <f t="shared" si="2"/>
        <v>0.65900000000000003</v>
      </c>
      <c r="E16" s="14">
        <f t="shared" si="2"/>
        <v>8626.3478260869597</v>
      </c>
      <c r="F16" s="15">
        <f t="shared" si="2"/>
        <v>0.29259607632356899</v>
      </c>
      <c r="G16" s="14">
        <f t="shared" si="2"/>
        <v>8076.7692307692296</v>
      </c>
      <c r="H16" s="14">
        <f t="shared" si="2"/>
        <v>6484.64</v>
      </c>
      <c r="I16" s="14">
        <f t="shared" si="2"/>
        <v>16.745999999999999</v>
      </c>
      <c r="J16" s="14">
        <f t="shared" si="2"/>
        <v>5637.65</v>
      </c>
      <c r="K16" s="14">
        <f t="shared" si="2"/>
        <v>146950.07</v>
      </c>
      <c r="L16" s="14">
        <f t="shared" si="2"/>
        <v>11759</v>
      </c>
      <c r="M16" s="14">
        <f t="shared" si="2"/>
        <v>137323.07</v>
      </c>
      <c r="N16" s="14"/>
      <c r="O16" s="15">
        <f t="shared" si="2"/>
        <v>0.55345636350268368</v>
      </c>
      <c r="P16" s="15">
        <f t="shared" si="2"/>
        <v>0.47770938134206198</v>
      </c>
      <c r="S16" t="s">
        <v>2187</v>
      </c>
      <c r="T16">
        <f>DCOUNTA(Table1[#All],9,T12:U13)</f>
        <v>2</v>
      </c>
    </row>
    <row r="17" spans="2:20" x14ac:dyDescent="0.25">
      <c r="S17" t="s">
        <v>2188</v>
      </c>
      <c r="T17">
        <f>DMAX(Table1[#All],9,T12:U13)</f>
        <v>16.745999999999999</v>
      </c>
    </row>
    <row r="18" spans="2:20" x14ac:dyDescent="0.25">
      <c r="B18" t="s">
        <v>2169</v>
      </c>
      <c r="S18" t="s">
        <v>2189</v>
      </c>
      <c r="T18">
        <f>DMIN(Table1[#All],9,T13:U14)</f>
        <v>6.4272</v>
      </c>
    </row>
    <row r="19" spans="2:20" x14ac:dyDescent="0.25">
      <c r="B19" s="14">
        <f t="shared" ref="B19:M19" si="3">AVERAGE(B2:B10)</f>
        <v>21102.345238095244</v>
      </c>
      <c r="C19" s="15">
        <f t="shared" si="3"/>
        <v>9.1696626967720032E-2</v>
      </c>
      <c r="D19" s="15">
        <f t="shared" si="3"/>
        <v>0.64581798810830604</v>
      </c>
      <c r="E19" s="14">
        <f t="shared" si="3"/>
        <v>5966.6960547504032</v>
      </c>
      <c r="F19" s="15">
        <f t="shared" si="3"/>
        <v>0.28198723635795647</v>
      </c>
      <c r="G19" s="14">
        <f t="shared" si="3"/>
        <v>4960.8290598290596</v>
      </c>
      <c r="H19" s="14">
        <f t="shared" si="3"/>
        <v>4002.719222222222</v>
      </c>
      <c r="I19" s="14">
        <f t="shared" si="3"/>
        <v>10.402866666666666</v>
      </c>
      <c r="J19" s="14">
        <f t="shared" si="3"/>
        <v>3451.6861111111116</v>
      </c>
      <c r="K19" s="14">
        <f t="shared" si="3"/>
        <v>91366.805544444447</v>
      </c>
      <c r="L19" s="14">
        <f t="shared" si="3"/>
        <v>9342.7619047619064</v>
      </c>
      <c r="M19" s="14">
        <f t="shared" si="3"/>
        <v>83337.805544444447</v>
      </c>
      <c r="N19" s="14"/>
      <c r="O19" s="15">
        <f>AVERAGE(O2:O10)</f>
        <v>0.34032844703222087</v>
      </c>
      <c r="P19" s="15">
        <f>AVERAGE(P2:P10)</f>
        <v>0.37368386332567649</v>
      </c>
      <c r="S19" t="s">
        <v>2190</v>
      </c>
      <c r="T19">
        <f>DSUM(Table1[#All],9,T12:U13)</f>
        <v>31.759</v>
      </c>
    </row>
    <row r="21" spans="2:20" x14ac:dyDescent="0.25">
      <c r="B21" t="s">
        <v>2170</v>
      </c>
      <c r="S21" t="s">
        <v>2191</v>
      </c>
      <c r="T21">
        <f>SUMIFS(Table1[Adj EPS],Table1[Revenue Adj ($M)],"&gt;20000")</f>
        <v>64.075199999999995</v>
      </c>
    </row>
    <row r="22" spans="2:20" x14ac:dyDescent="0.25">
      <c r="B22" s="14">
        <f>MEDIAN(B2:B10)</f>
        <v>20498</v>
      </c>
      <c r="C22" s="15">
        <f t="shared" ref="C22:P22" si="4">MEDIAN(C2:C10)</f>
        <v>9.4330999999999998E-2</v>
      </c>
      <c r="D22" s="15">
        <f t="shared" si="4"/>
        <v>0.64461163999999993</v>
      </c>
      <c r="E22" s="14">
        <f t="shared" si="4"/>
        <v>5520</v>
      </c>
      <c r="F22" s="15">
        <f t="shared" si="4"/>
        <v>0.28559738134206197</v>
      </c>
      <c r="G22" s="14">
        <f t="shared" si="4"/>
        <v>4320</v>
      </c>
      <c r="H22" s="14">
        <f t="shared" si="4"/>
        <v>3563</v>
      </c>
      <c r="I22" s="14">
        <f t="shared" si="4"/>
        <v>9.2873000000000001</v>
      </c>
      <c r="J22" s="14">
        <f t="shared" si="4"/>
        <v>3136</v>
      </c>
      <c r="K22" s="14">
        <f t="shared" si="4"/>
        <v>104218.45209999999</v>
      </c>
      <c r="L22" s="14">
        <f t="shared" si="4"/>
        <v>9460</v>
      </c>
      <c r="M22" s="14">
        <f t="shared" si="4"/>
        <v>92620.452099999995</v>
      </c>
      <c r="N22" s="14"/>
      <c r="O22" s="15">
        <f t="shared" si="4"/>
        <v>0.40956149384790508</v>
      </c>
      <c r="P22" s="15">
        <f t="shared" si="4"/>
        <v>0.380357565323446</v>
      </c>
      <c r="S22" t="s">
        <v>2192</v>
      </c>
      <c r="T22">
        <f>COUNTIFS(Table1[[#All],[Revenue Adj ($M)]], "&gt;20000")</f>
        <v>5</v>
      </c>
    </row>
    <row r="23" spans="2:20" x14ac:dyDescent="0.25">
      <c r="S23" t="s">
        <v>2193</v>
      </c>
      <c r="T23">
        <f>AVERAGEIFS(Table1[Adj EPS],Table1[Revenue Adj ($M)],"&gt;20000")</f>
        <v>12.81504</v>
      </c>
    </row>
    <row r="24" spans="2:20" x14ac:dyDescent="0.25">
      <c r="B24" t="s">
        <v>2171</v>
      </c>
    </row>
    <row r="25" spans="2:20" x14ac:dyDescent="0.25">
      <c r="B25">
        <f>_xlfn.STDEV.P(B2:B10)</f>
        <v>5129.7617219220201</v>
      </c>
      <c r="C25" s="15">
        <f t="shared" ref="C25:P25" si="5">_xlfn.STDEV.P(C2:C10)</f>
        <v>5.5265836804368369E-2</v>
      </c>
      <c r="D25" s="15">
        <f t="shared" si="5"/>
        <v>8.7849419559837705E-3</v>
      </c>
      <c r="E25">
        <f t="shared" si="5"/>
        <v>1545.370075620631</v>
      </c>
      <c r="F25" s="15">
        <f t="shared" si="5"/>
        <v>9.1242592831510035E-3</v>
      </c>
      <c r="G25">
        <f t="shared" si="5"/>
        <v>1678.1631225385966</v>
      </c>
      <c r="H25">
        <f t="shared" si="5"/>
        <v>1333.2162948617306</v>
      </c>
      <c r="I25">
        <f t="shared" si="5"/>
        <v>3.3970932093973101</v>
      </c>
      <c r="J25">
        <f t="shared" si="5"/>
        <v>1334.3884767266923</v>
      </c>
      <c r="K25">
        <f t="shared" si="5"/>
        <v>52343.31103685368</v>
      </c>
      <c r="L25">
        <f t="shared" si="5"/>
        <v>1864.4590103728576</v>
      </c>
      <c r="M25">
        <f t="shared" si="5"/>
        <v>48126.633576341163</v>
      </c>
      <c r="O25" s="15">
        <f t="shared" si="5"/>
        <v>0.18700100616425902</v>
      </c>
      <c r="P25" s="15">
        <f t="shared" si="5"/>
        <v>5.8125645350000428E-2</v>
      </c>
    </row>
    <row r="27" spans="2:20" x14ac:dyDescent="0.25">
      <c r="B27" t="s">
        <v>2172</v>
      </c>
    </row>
    <row r="28" spans="2:20" x14ac:dyDescent="0.25">
      <c r="B28">
        <f>SUBTOTAL(3,A2:A10)</f>
        <v>9</v>
      </c>
    </row>
    <row r="30" spans="2:20" ht="15" customHeight="1" x14ac:dyDescent="0.25">
      <c r="B30" t="s">
        <v>2179</v>
      </c>
      <c r="C30" s="15" t="s">
        <v>2180</v>
      </c>
      <c r="D30" s="15" t="s">
        <v>2181</v>
      </c>
      <c r="E30" t="s">
        <v>2173</v>
      </c>
      <c r="F30" s="109" t="s">
        <v>2174</v>
      </c>
      <c r="G30" s="109"/>
      <c r="H30" s="110" t="s">
        <v>2182</v>
      </c>
      <c r="I30" s="110"/>
      <c r="J30" s="98">
        <f>NPV(K30,B9)</f>
        <v>20497.999999610547</v>
      </c>
      <c r="K30" s="63">
        <v>0.33267705562656436</v>
      </c>
    </row>
    <row r="31" spans="2:20" x14ac:dyDescent="0.25">
      <c r="B31">
        <f>_xlfn.RANK.AVG(B2,B2:B10,0)</f>
        <v>8</v>
      </c>
      <c r="C31" s="15">
        <f>_xlfn.PERCENTRANK.EXC(C2:C10,C2)</f>
        <v>0.5</v>
      </c>
      <c r="D31" s="15">
        <f>_xlfn.QUARTILE.EXC(D2:D10,1)</f>
        <v>0.63850000000000007</v>
      </c>
      <c r="E31" cm="1">
        <f t="array" ref="E31:E37">FREQUENCY(E5:E10,J5:J10)</f>
        <v>0</v>
      </c>
      <c r="F31" s="15">
        <f>CORREL(F2:F7,D2:D7)</f>
        <v>0.87458374461129462</v>
      </c>
    </row>
    <row r="32" spans="2:20" x14ac:dyDescent="0.25">
      <c r="E32">
        <v>0</v>
      </c>
    </row>
    <row r="33" spans="1:16" x14ac:dyDescent="0.25">
      <c r="E33">
        <v>0</v>
      </c>
    </row>
    <row r="34" spans="1:16" x14ac:dyDescent="0.25">
      <c r="E34">
        <v>0</v>
      </c>
    </row>
    <row r="35" spans="1:16" x14ac:dyDescent="0.25">
      <c r="E35">
        <v>1</v>
      </c>
    </row>
    <row r="36" spans="1:16" x14ac:dyDescent="0.25">
      <c r="E36">
        <v>1</v>
      </c>
    </row>
    <row r="37" spans="1:16" x14ac:dyDescent="0.25">
      <c r="E37">
        <v>4</v>
      </c>
    </row>
    <row r="40" spans="1:16" x14ac:dyDescent="0.25">
      <c r="A40" s="47"/>
      <c r="B40" s="47"/>
      <c r="C40" s="96"/>
      <c r="D40" s="96"/>
      <c r="E40" s="47"/>
      <c r="F40" s="96"/>
      <c r="G40" s="47"/>
      <c r="H40" s="47"/>
      <c r="I40" s="47"/>
      <c r="J40" s="47"/>
      <c r="K40" s="47"/>
      <c r="L40" s="47"/>
      <c r="M40" s="47"/>
      <c r="N40" s="92"/>
      <c r="O40" s="96"/>
      <c r="P40" s="96"/>
    </row>
    <row r="41" spans="1:16" x14ac:dyDescent="0.25">
      <c r="A41" s="51"/>
      <c r="B41" s="53"/>
      <c r="C41" s="52"/>
      <c r="D41" s="52"/>
      <c r="E41" s="53"/>
      <c r="F41" s="52"/>
      <c r="G41" s="53"/>
      <c r="H41" s="53"/>
      <c r="I41" s="53"/>
      <c r="J41" s="53"/>
      <c r="K41" s="53"/>
      <c r="L41" s="53"/>
      <c r="M41" s="53"/>
      <c r="N41" s="93"/>
      <c r="O41" s="52"/>
    </row>
    <row r="42" spans="1:16" x14ac:dyDescent="0.25">
      <c r="A42" s="51"/>
      <c r="B42" s="53"/>
      <c r="C42" s="52"/>
      <c r="D42" s="52"/>
      <c r="E42" s="53"/>
      <c r="F42" s="52"/>
      <c r="G42" s="53"/>
      <c r="H42" s="53"/>
      <c r="I42" s="53"/>
      <c r="J42" s="53"/>
      <c r="K42" s="53"/>
      <c r="L42" s="53"/>
      <c r="M42" s="53"/>
      <c r="N42" s="93"/>
      <c r="O42" s="52"/>
    </row>
    <row r="43" spans="1:16" x14ac:dyDescent="0.25">
      <c r="A43" s="51"/>
      <c r="B43" s="53"/>
      <c r="C43" s="52"/>
      <c r="D43" s="52"/>
      <c r="E43" s="53"/>
      <c r="F43" s="52"/>
      <c r="G43" s="53"/>
      <c r="H43" s="53"/>
      <c r="I43" s="53"/>
      <c r="J43" s="53"/>
      <c r="K43" s="53"/>
      <c r="L43" s="53"/>
      <c r="M43" s="53"/>
      <c r="N43" s="93"/>
      <c r="O43" s="52"/>
    </row>
    <row r="44" spans="1:16" x14ac:dyDescent="0.25">
      <c r="A44" s="51"/>
      <c r="B44" s="53"/>
      <c r="C44" s="52"/>
      <c r="D44" s="52"/>
      <c r="E44" s="53"/>
      <c r="F44" s="52"/>
      <c r="G44" s="53"/>
      <c r="H44" s="53"/>
      <c r="I44" s="53"/>
      <c r="J44" s="53"/>
      <c r="K44" s="53"/>
      <c r="L44" s="53"/>
      <c r="M44" s="53"/>
      <c r="N44" s="93"/>
      <c r="O44" s="52"/>
    </row>
    <row r="45" spans="1:16" x14ac:dyDescent="0.25">
      <c r="A45" s="51"/>
      <c r="B45" s="53"/>
      <c r="C45" s="52"/>
      <c r="D45" s="52"/>
      <c r="E45" s="53"/>
      <c r="F45" s="52"/>
      <c r="G45" s="53"/>
      <c r="H45" s="53"/>
      <c r="I45" s="53"/>
      <c r="J45" s="53"/>
      <c r="K45" s="53"/>
      <c r="L45" s="53"/>
      <c r="M45" s="53"/>
      <c r="N45" s="93"/>
      <c r="O45" s="52"/>
    </row>
    <row r="46" spans="1:16" x14ac:dyDescent="0.25">
      <c r="A46" s="51"/>
      <c r="B46" s="53"/>
      <c r="C46" s="52"/>
      <c r="D46" s="52"/>
      <c r="E46" s="53"/>
      <c r="F46" s="52"/>
      <c r="G46" s="53"/>
      <c r="H46" s="53"/>
      <c r="I46" s="53"/>
      <c r="J46" s="53"/>
      <c r="K46" s="53"/>
      <c r="L46" s="53"/>
      <c r="M46" s="53"/>
      <c r="N46" s="93"/>
      <c r="O46" s="52"/>
    </row>
    <row r="47" spans="1:16" x14ac:dyDescent="0.25">
      <c r="A47" s="51"/>
      <c r="B47" s="53"/>
      <c r="C47" s="52"/>
      <c r="D47" s="52"/>
      <c r="E47" s="53"/>
      <c r="F47" s="52"/>
      <c r="G47" s="53"/>
      <c r="H47" s="53"/>
      <c r="I47" s="53"/>
      <c r="J47" s="53"/>
      <c r="K47" s="53"/>
      <c r="L47" s="53"/>
      <c r="M47" s="65"/>
      <c r="N47" s="93"/>
      <c r="O47" s="52"/>
    </row>
    <row r="48" spans="1:16" x14ac:dyDescent="0.25">
      <c r="A48" s="51"/>
      <c r="B48" s="53"/>
      <c r="C48" s="52"/>
      <c r="D48" s="52"/>
      <c r="E48" s="53"/>
      <c r="F48" s="52"/>
      <c r="G48" s="53"/>
      <c r="H48" s="53"/>
      <c r="I48" s="53"/>
      <c r="J48" s="53"/>
      <c r="K48" s="53"/>
      <c r="L48" s="53"/>
      <c r="M48" s="53"/>
      <c r="N48" s="93"/>
      <c r="O48" s="52"/>
    </row>
    <row r="49" spans="1:15" x14ac:dyDescent="0.25">
      <c r="A49" s="51"/>
      <c r="B49" s="53"/>
      <c r="C49" s="52"/>
      <c r="D49" s="52"/>
      <c r="E49" s="53"/>
      <c r="F49" s="52"/>
      <c r="G49" s="53"/>
      <c r="H49" s="53"/>
      <c r="I49" s="53"/>
      <c r="J49" s="53"/>
      <c r="K49" s="53"/>
      <c r="L49" s="53"/>
      <c r="M49" s="53"/>
      <c r="N49" s="93"/>
      <c r="O49" s="52"/>
    </row>
  </sheetData>
  <mergeCells count="2">
    <mergeCell ref="F30:G30"/>
    <mergeCell ref="H30:I30"/>
  </mergeCells>
  <conditionalFormatting sqref="N2:O10">
    <cfRule type="cellIs" dxfId="1" priority="1" operator="greaterThan">
      <formula>0.5</formula>
    </cfRule>
  </conditionalFormatting>
  <conditionalFormatting sqref="P2:P10">
    <cfRule type="cellIs" dxfId="0" priority="2" operator="greaterThan">
      <formula>0.4</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8CD6-47B7-4219-84CE-8A000C1D3C09}">
  <sheetPr codeName="Sheet6">
    <tabColor theme="9" tint="0.59999389629810485"/>
  </sheetPr>
  <dimension ref="A1:L20"/>
  <sheetViews>
    <sheetView workbookViewId="0">
      <selection activeCell="B16" sqref="B16"/>
    </sheetView>
  </sheetViews>
  <sheetFormatPr defaultRowHeight="15" x14ac:dyDescent="0.25"/>
  <cols>
    <col min="1" max="1" width="28.140625" bestFit="1" customWidth="1"/>
    <col min="2" max="5" width="12.5703125" bestFit="1" customWidth="1"/>
    <col min="6" max="6" width="11.5703125" bestFit="1" customWidth="1"/>
    <col min="7" max="7" width="10.7109375" bestFit="1" customWidth="1"/>
    <col min="8" max="8" width="18" bestFit="1" customWidth="1"/>
    <col min="12" max="12" width="10.28515625" bestFit="1" customWidth="1"/>
  </cols>
  <sheetData>
    <row r="1" spans="1:12" x14ac:dyDescent="0.25">
      <c r="A1" t="s">
        <v>1503</v>
      </c>
      <c r="B1" t="s">
        <v>1498</v>
      </c>
      <c r="C1" t="s">
        <v>1499</v>
      </c>
      <c r="D1" t="s">
        <v>1501</v>
      </c>
      <c r="E1" t="s">
        <v>1500</v>
      </c>
      <c r="F1" t="s">
        <v>1502</v>
      </c>
    </row>
    <row r="2" spans="1:12" x14ac:dyDescent="0.25">
      <c r="A2" t="s">
        <v>1485</v>
      </c>
      <c r="B2" s="14">
        <v>134437.29999999999</v>
      </c>
      <c r="C2" s="14">
        <v>499960.4</v>
      </c>
      <c r="D2" s="14">
        <v>217578.5</v>
      </c>
      <c r="E2" s="14">
        <v>141404.1</v>
      </c>
      <c r="F2" s="14">
        <v>49504.7</v>
      </c>
    </row>
    <row r="3" spans="1:12" x14ac:dyDescent="0.25">
      <c r="A3" t="s">
        <v>1486</v>
      </c>
      <c r="B3" s="14">
        <v>0</v>
      </c>
      <c r="C3" s="14">
        <v>0</v>
      </c>
      <c r="D3" s="14">
        <v>0</v>
      </c>
      <c r="E3" s="14">
        <v>0</v>
      </c>
      <c r="F3" s="14">
        <v>0</v>
      </c>
      <c r="I3" s="15"/>
      <c r="J3" s="15"/>
      <c r="K3" s="15"/>
      <c r="L3" s="15"/>
    </row>
    <row r="4" spans="1:12" x14ac:dyDescent="0.25">
      <c r="A4" t="s">
        <v>1487</v>
      </c>
      <c r="B4" s="14">
        <v>1153</v>
      </c>
      <c r="C4" s="14">
        <v>8495</v>
      </c>
      <c r="D4" s="14">
        <v>3309</v>
      </c>
      <c r="E4" s="14">
        <v>389</v>
      </c>
      <c r="F4" s="14">
        <v>24.5</v>
      </c>
      <c r="H4" s="14"/>
      <c r="I4" s="15"/>
      <c r="J4" s="15"/>
      <c r="K4" s="15"/>
      <c r="L4" s="15"/>
    </row>
    <row r="5" spans="1:12" x14ac:dyDescent="0.25">
      <c r="A5" t="s">
        <v>1488</v>
      </c>
      <c r="B5" s="14">
        <v>15207</v>
      </c>
      <c r="C5" s="14">
        <v>40838</v>
      </c>
      <c r="D5" s="14">
        <v>10827</v>
      </c>
      <c r="E5" s="14">
        <v>11583</v>
      </c>
      <c r="F5" s="14">
        <v>680.9</v>
      </c>
      <c r="I5" s="15"/>
      <c r="J5" s="15"/>
      <c r="K5" s="15"/>
      <c r="L5" s="15"/>
    </row>
    <row r="6" spans="1:12" x14ac:dyDescent="0.25">
      <c r="A6" t="s">
        <v>1489</v>
      </c>
      <c r="B6" s="14">
        <v>150797.29999999999</v>
      </c>
      <c r="C6" s="14">
        <v>549293.4</v>
      </c>
      <c r="D6" s="14">
        <v>231714.5</v>
      </c>
      <c r="E6" s="14">
        <v>153376.1</v>
      </c>
      <c r="F6" s="14">
        <v>50210.1</v>
      </c>
      <c r="H6" t="s">
        <v>1490</v>
      </c>
      <c r="I6" s="15" cm="1">
        <f t="array" ref="I6">INDEX(B7:F7,$J$9)</f>
        <v>0.89200000000000002</v>
      </c>
      <c r="J6" s="15"/>
      <c r="K6" s="15"/>
      <c r="L6" s="15"/>
    </row>
    <row r="7" spans="1:12" x14ac:dyDescent="0.25">
      <c r="A7" t="s">
        <v>1490</v>
      </c>
      <c r="B7" s="15">
        <v>0.89200000000000002</v>
      </c>
      <c r="C7" s="15">
        <v>0.91</v>
      </c>
      <c r="D7" s="15">
        <v>0.93899999999999995</v>
      </c>
      <c r="E7" s="15">
        <v>0.92200000000000004</v>
      </c>
      <c r="F7" s="15">
        <v>0.98599999999999999</v>
      </c>
      <c r="H7" t="s">
        <v>1491</v>
      </c>
      <c r="I7" s="15" cm="1">
        <f t="array" ref="I7">INDEX(B8:F8,$J$9)</f>
        <v>0</v>
      </c>
      <c r="J7" s="15"/>
      <c r="K7" s="15"/>
      <c r="L7" s="15"/>
    </row>
    <row r="8" spans="1:12" x14ac:dyDescent="0.25">
      <c r="A8" t="s">
        <v>1491</v>
      </c>
      <c r="B8" s="15">
        <v>0</v>
      </c>
      <c r="C8" s="15">
        <v>0</v>
      </c>
      <c r="D8" s="15">
        <v>0</v>
      </c>
      <c r="E8" s="15">
        <v>0</v>
      </c>
      <c r="F8" s="15">
        <v>0</v>
      </c>
      <c r="H8" t="s">
        <v>1492</v>
      </c>
      <c r="I8" s="15" cm="1">
        <f t="array" ref="I8">INDEX(B9:F9,$J$9)</f>
        <v>8.0000000000000002E-3</v>
      </c>
    </row>
    <row r="9" spans="1:12" x14ac:dyDescent="0.25">
      <c r="A9" t="s">
        <v>1492</v>
      </c>
      <c r="B9" s="15">
        <v>8.0000000000000002E-3</v>
      </c>
      <c r="C9" s="15">
        <v>1.4999999999999999E-2</v>
      </c>
      <c r="D9" s="15">
        <v>1.4E-2</v>
      </c>
      <c r="E9" s="15">
        <v>3.0000000000000001E-3</v>
      </c>
      <c r="F9" s="15">
        <v>1E-4</v>
      </c>
      <c r="H9" t="s">
        <v>1493</v>
      </c>
      <c r="I9" s="15" cm="1">
        <f t="array" ref="I9">INDEX(B10:F10,$J$9)</f>
        <v>0.10100000000000001</v>
      </c>
      <c r="J9">
        <v>1</v>
      </c>
    </row>
    <row r="10" spans="1:12" x14ac:dyDescent="0.25">
      <c r="A10" t="s">
        <v>1493</v>
      </c>
      <c r="B10" s="15">
        <v>0.10100000000000001</v>
      </c>
      <c r="C10" s="15">
        <v>7.3999999999999996E-2</v>
      </c>
      <c r="D10" s="15">
        <v>4.7E-2</v>
      </c>
      <c r="E10" s="15">
        <v>7.5999999999999998E-2</v>
      </c>
      <c r="F10" s="15">
        <v>1.4E-2</v>
      </c>
    </row>
    <row r="11" spans="1:12" x14ac:dyDescent="0.25">
      <c r="A11" t="s">
        <v>1494</v>
      </c>
      <c r="B11" s="17">
        <f ca="1">_xlfn.XLOOKUP(B1,'Beta Hand Calculations'!$A67:$A72,'Beta Hand Calculations'!$B67:$B72)</f>
        <v>0.9282756473402165</v>
      </c>
      <c r="C11" s="17">
        <f ca="1">_xlfn.XLOOKUP(C1,'Beta Hand Calculations'!$A67:$A72,'Beta Hand Calculations'!$B67:$B72)</f>
        <v>0.32763773001534369</v>
      </c>
      <c r="D11" s="17">
        <f ca="1">_xlfn.XLOOKUP(D1,'Beta Hand Calculations'!$A67:$A72,'Beta Hand Calculations'!$B67:$B72)</f>
        <v>0.77017980644001605</v>
      </c>
      <c r="E11" s="17">
        <f ca="1">_xlfn.XLOOKUP(E1,'Beta Hand Calculations'!$A67:$A72,'Beta Hand Calculations'!$B67:$B72)</f>
        <v>0.78314865720002846</v>
      </c>
      <c r="F11" s="17">
        <f ca="1">_xlfn.XLOOKUP(F1,'Beta Hand Calculations'!$A67:$A72,'Beta Hand Calculations'!$B67:$B72)</f>
        <v>0.93461730942512533</v>
      </c>
    </row>
    <row r="12" spans="1:12" x14ac:dyDescent="0.25">
      <c r="A12" t="s">
        <v>1504</v>
      </c>
      <c r="B12" s="15">
        <f>C13+B18</f>
        <v>9.8170000000000007E-2</v>
      </c>
      <c r="C12" s="15"/>
      <c r="D12" s="15"/>
      <c r="E12" s="15"/>
      <c r="F12" s="15"/>
    </row>
    <row r="13" spans="1:12" x14ac:dyDescent="0.25">
      <c r="A13" s="20" t="s">
        <v>1495</v>
      </c>
      <c r="B13" s="15" cm="1">
        <f t="array" aca="1" ref="B13" ca="1">(_xlfn.STOCKHISTORY("^TNX",TODAY(),TODAY(),2,0,1)) / 1000</f>
        <v>4.3920000000000001E-2</v>
      </c>
      <c r="C13" s="21">
        <v>4.317E-2</v>
      </c>
      <c r="D13" s="14"/>
      <c r="E13" s="14"/>
      <c r="F13" s="14"/>
    </row>
    <row r="14" spans="1:12" x14ac:dyDescent="0.25">
      <c r="A14" t="s">
        <v>1514</v>
      </c>
      <c r="B14" s="15">
        <v>0.155</v>
      </c>
      <c r="C14" s="15">
        <v>0.18</v>
      </c>
      <c r="D14" s="15">
        <v>0.16259999999999999</v>
      </c>
      <c r="E14" s="15">
        <f>(BSX!M130/BSX!M123)</f>
        <v>0.11678750514115305</v>
      </c>
      <c r="F14" s="15">
        <v>0.17230000000000001</v>
      </c>
    </row>
    <row r="15" spans="1:12" x14ac:dyDescent="0.25">
      <c r="A15" t="s">
        <v>1496</v>
      </c>
      <c r="B15" s="15">
        <v>3.9E-2</v>
      </c>
      <c r="C15" s="15">
        <v>4.2000000000000003E-2</v>
      </c>
      <c r="D15" s="15">
        <v>4.1000000000000002E-2</v>
      </c>
      <c r="E15" s="15">
        <v>4.8000000000000001E-2</v>
      </c>
      <c r="F15" s="15">
        <v>4.4999999999999998E-2</v>
      </c>
    </row>
    <row r="16" spans="1:12" x14ac:dyDescent="0.25">
      <c r="A16" t="s">
        <v>1497</v>
      </c>
      <c r="B16" s="67">
        <f ca="1">((B2/B6)*($C$13+(B11*$B$18)))+(((B4+B5)/B6)*B15)*(1-B14)</f>
        <v>8.7577960504792857E-2</v>
      </c>
      <c r="C16" s="15">
        <f t="shared" ref="C16:F16" ca="1" si="0">((C2/C6)*($C$13+(C11*$B$18)))+(((C4+C5)/C6)*C15)*(1-C14)</f>
        <v>5.8787604162813492E-2</v>
      </c>
      <c r="D16" s="15">
        <f t="shared" ca="1" si="0"/>
        <v>8.2406590753936401E-2</v>
      </c>
      <c r="E16" s="15">
        <f t="shared" ca="1" si="0"/>
        <v>8.2820478963231067E-2</v>
      </c>
      <c r="F16" s="15">
        <f t="shared" ca="1" si="0"/>
        <v>9.3768560580130084E-2</v>
      </c>
    </row>
    <row r="17" spans="1:10" x14ac:dyDescent="0.25">
      <c r="B17" s="14"/>
      <c r="C17" s="14"/>
      <c r="D17" s="14"/>
      <c r="E17" s="14"/>
      <c r="F17" s="14"/>
      <c r="G17" s="106" t="s">
        <v>1653</v>
      </c>
      <c r="H17" s="106"/>
      <c r="I17" s="106"/>
      <c r="J17" s="106"/>
    </row>
    <row r="18" spans="1:10" x14ac:dyDescent="0.25">
      <c r="A18" t="s">
        <v>1505</v>
      </c>
      <c r="B18" s="15">
        <v>5.5E-2</v>
      </c>
    </row>
    <row r="20" spans="1:10" ht="15" customHeight="1" x14ac:dyDescent="0.25"/>
  </sheetData>
  <mergeCells count="1">
    <mergeCell ref="G17:J1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Option Button 3">
              <controlPr defaultSize="0" autoFill="0" autoLine="0" autoPict="0">
                <anchor moveWithCells="1">
                  <from>
                    <xdr:col>6</xdr:col>
                    <xdr:colOff>66675</xdr:colOff>
                    <xdr:row>2</xdr:row>
                    <xdr:rowOff>133350</xdr:rowOff>
                  </from>
                  <to>
                    <xdr:col>7</xdr:col>
                    <xdr:colOff>381000</xdr:colOff>
                    <xdr:row>3</xdr:row>
                    <xdr:rowOff>152400</xdr:rowOff>
                  </to>
                </anchor>
              </controlPr>
            </control>
          </mc:Choice>
        </mc:AlternateContent>
        <mc:AlternateContent xmlns:mc="http://schemas.openxmlformats.org/markup-compatibility/2006">
          <mc:Choice Requires="x14">
            <control shapeId="1028" r:id="rId4" name="Option Button 4">
              <controlPr defaultSize="0" autoFill="0" autoLine="0" autoPict="0">
                <anchor moveWithCells="1">
                  <from>
                    <xdr:col>6</xdr:col>
                    <xdr:colOff>66675</xdr:colOff>
                    <xdr:row>3</xdr:row>
                    <xdr:rowOff>104775</xdr:rowOff>
                  </from>
                  <to>
                    <xdr:col>7</xdr:col>
                    <xdr:colOff>381000</xdr:colOff>
                    <xdr:row>4</xdr:row>
                    <xdr:rowOff>123825</xdr:rowOff>
                  </to>
                </anchor>
              </controlPr>
            </control>
          </mc:Choice>
        </mc:AlternateContent>
        <mc:AlternateContent xmlns:mc="http://schemas.openxmlformats.org/markup-compatibility/2006">
          <mc:Choice Requires="x14">
            <control shapeId="1029" r:id="rId5" name="Option Button 5">
              <controlPr defaultSize="0" autoFill="0" autoLine="0" autoPict="0">
                <anchor moveWithCells="1">
                  <from>
                    <xdr:col>6</xdr:col>
                    <xdr:colOff>66675</xdr:colOff>
                    <xdr:row>4</xdr:row>
                    <xdr:rowOff>66675</xdr:rowOff>
                  </from>
                  <to>
                    <xdr:col>7</xdr:col>
                    <xdr:colOff>381000</xdr:colOff>
                    <xdr:row>5</xdr:row>
                    <xdr:rowOff>85725</xdr:rowOff>
                  </to>
                </anchor>
              </controlPr>
            </control>
          </mc:Choice>
        </mc:AlternateContent>
        <mc:AlternateContent xmlns:mc="http://schemas.openxmlformats.org/markup-compatibility/2006">
          <mc:Choice Requires="x14">
            <control shapeId="1030" r:id="rId6" name="Option Button 6">
              <controlPr defaultSize="0" autoFill="0" autoLine="0" autoPict="0">
                <anchor moveWithCells="1">
                  <from>
                    <xdr:col>6</xdr:col>
                    <xdr:colOff>66675</xdr:colOff>
                    <xdr:row>5</xdr:row>
                    <xdr:rowOff>38100</xdr:rowOff>
                  </from>
                  <to>
                    <xdr:col>7</xdr:col>
                    <xdr:colOff>381000</xdr:colOff>
                    <xdr:row>6</xdr:row>
                    <xdr:rowOff>57150</xdr:rowOff>
                  </to>
                </anchor>
              </controlPr>
            </control>
          </mc:Choice>
        </mc:AlternateContent>
        <mc:AlternateContent xmlns:mc="http://schemas.openxmlformats.org/markup-compatibility/2006">
          <mc:Choice Requires="x14">
            <control shapeId="1031" r:id="rId7" name="Option Button 7">
              <controlPr defaultSize="0" autoFill="0" autoLine="0" autoPict="0">
                <anchor moveWithCells="1">
                  <from>
                    <xdr:col>6</xdr:col>
                    <xdr:colOff>66675</xdr:colOff>
                    <xdr:row>5</xdr:row>
                    <xdr:rowOff>190500</xdr:rowOff>
                  </from>
                  <to>
                    <xdr:col>7</xdr:col>
                    <xdr:colOff>381000</xdr:colOff>
                    <xdr:row>7</xdr:row>
                    <xdr:rowOff>19050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703B-DB76-4D95-AAD9-03DA05EE42C8}">
  <sheetPr codeName="Sheet7">
    <tabColor theme="9" tint="0.59999389629810485"/>
  </sheetPr>
  <dimension ref="A3:F66"/>
  <sheetViews>
    <sheetView workbookViewId="0">
      <selection activeCell="A4" sqref="A4"/>
    </sheetView>
  </sheetViews>
  <sheetFormatPr defaultRowHeight="15" x14ac:dyDescent="0.25"/>
  <cols>
    <col min="1" max="1" width="13.140625" bestFit="1" customWidth="1"/>
    <col min="2" max="2" width="14.42578125" bestFit="1" customWidth="1"/>
    <col min="3" max="3" width="14" bestFit="1" customWidth="1"/>
    <col min="4" max="4" width="14.5703125" bestFit="1" customWidth="1"/>
    <col min="5" max="5" width="14.42578125" bestFit="1" customWidth="1"/>
    <col min="6" max="6" width="14.140625" bestFit="1" customWidth="1"/>
    <col min="7" max="7" width="18.85546875" bestFit="1" customWidth="1"/>
    <col min="8" max="27" width="12.7109375" bestFit="1" customWidth="1"/>
    <col min="28" max="29" width="12" bestFit="1" customWidth="1"/>
    <col min="30" max="30" width="11" bestFit="1" customWidth="1"/>
    <col min="31" max="46" width="12" bestFit="1" customWidth="1"/>
    <col min="47" max="47" width="11" bestFit="1" customWidth="1"/>
    <col min="48" max="48" width="12" bestFit="1" customWidth="1"/>
    <col min="49" max="49" width="11" bestFit="1" customWidth="1"/>
    <col min="50" max="63" width="12" bestFit="1" customWidth="1"/>
    <col min="64" max="64" width="9" bestFit="1" customWidth="1"/>
    <col min="65" max="65" width="14" bestFit="1" customWidth="1"/>
    <col min="66" max="90" width="12.7109375" bestFit="1" customWidth="1"/>
    <col min="91" max="92" width="12" bestFit="1" customWidth="1"/>
    <col min="93" max="93" width="11" bestFit="1" customWidth="1"/>
    <col min="94" max="109" width="12" bestFit="1" customWidth="1"/>
    <col min="110" max="110" width="11" bestFit="1" customWidth="1"/>
    <col min="111" max="111" width="12" bestFit="1" customWidth="1"/>
    <col min="112" max="112" width="11" bestFit="1" customWidth="1"/>
    <col min="113" max="126" width="12" bestFit="1" customWidth="1"/>
    <col min="127" max="127" width="9" bestFit="1" customWidth="1"/>
    <col min="128" max="128" width="14.5703125" bestFit="1" customWidth="1"/>
    <col min="129" max="153" width="12.7109375" bestFit="1" customWidth="1"/>
    <col min="154" max="155" width="12" bestFit="1" customWidth="1"/>
    <col min="156" max="156" width="11" bestFit="1" customWidth="1"/>
    <col min="157" max="172" width="12" bestFit="1" customWidth="1"/>
    <col min="173" max="173" width="11" bestFit="1" customWidth="1"/>
    <col min="174" max="174" width="12" bestFit="1" customWidth="1"/>
    <col min="175" max="175" width="11" bestFit="1" customWidth="1"/>
    <col min="176" max="189" width="12" bestFit="1" customWidth="1"/>
    <col min="190" max="190" width="9" bestFit="1" customWidth="1"/>
    <col min="191" max="191" width="14.42578125" bestFit="1" customWidth="1"/>
    <col min="192" max="216" width="12.7109375" bestFit="1" customWidth="1"/>
    <col min="217" max="218" width="12" bestFit="1" customWidth="1"/>
    <col min="219" max="219" width="11" bestFit="1" customWidth="1"/>
    <col min="220" max="235" width="12" bestFit="1" customWidth="1"/>
    <col min="236" max="236" width="11" bestFit="1" customWidth="1"/>
    <col min="237" max="237" width="12" bestFit="1" customWidth="1"/>
    <col min="238" max="238" width="11" bestFit="1" customWidth="1"/>
    <col min="239" max="252" width="12" bestFit="1" customWidth="1"/>
    <col min="253" max="253" width="8" bestFit="1" customWidth="1"/>
    <col min="254" max="254" width="14.140625" bestFit="1" customWidth="1"/>
    <col min="255" max="279" width="12.7109375" bestFit="1" customWidth="1"/>
    <col min="280" max="281" width="12" bestFit="1" customWidth="1"/>
    <col min="282" max="282" width="11" bestFit="1" customWidth="1"/>
    <col min="283" max="298" width="12" bestFit="1" customWidth="1"/>
    <col min="299" max="299" width="11" bestFit="1" customWidth="1"/>
    <col min="300" max="300" width="12" bestFit="1" customWidth="1"/>
    <col min="301" max="301" width="11" bestFit="1" customWidth="1"/>
    <col min="302" max="315" width="12" bestFit="1" customWidth="1"/>
    <col min="316" max="316" width="8" bestFit="1" customWidth="1"/>
    <col min="317" max="317" width="18.42578125" bestFit="1" customWidth="1"/>
    <col min="318" max="342" width="12.7109375" bestFit="1" customWidth="1"/>
    <col min="343" max="344" width="12" bestFit="1" customWidth="1"/>
    <col min="345" max="345" width="11" bestFit="1" customWidth="1"/>
    <col min="346" max="361" width="12" bestFit="1" customWidth="1"/>
    <col min="362" max="362" width="11" bestFit="1" customWidth="1"/>
    <col min="363" max="363" width="12" bestFit="1" customWidth="1"/>
    <col min="364" max="364" width="11" bestFit="1" customWidth="1"/>
    <col min="365" max="378" width="12" bestFit="1" customWidth="1"/>
    <col min="379" max="379" width="8" bestFit="1" customWidth="1"/>
    <col min="380" max="380" width="19.42578125" bestFit="1" customWidth="1"/>
    <col min="381" max="381" width="19" bestFit="1" customWidth="1"/>
    <col min="382" max="382" width="19.5703125" bestFit="1" customWidth="1"/>
    <col min="383" max="383" width="19.42578125" bestFit="1" customWidth="1"/>
    <col min="384" max="384" width="19.140625" bestFit="1" customWidth="1"/>
    <col min="385" max="385" width="23.42578125" bestFit="1" customWidth="1"/>
  </cols>
  <sheetData>
    <row r="3" spans="1:6" x14ac:dyDescent="0.25">
      <c r="A3" s="77" t="s">
        <v>2137</v>
      </c>
      <c r="B3" t="s">
        <v>2149</v>
      </c>
      <c r="C3" t="s">
        <v>2150</v>
      </c>
      <c r="D3" t="s">
        <v>2152</v>
      </c>
      <c r="E3" t="s">
        <v>2153</v>
      </c>
      <c r="F3" t="s">
        <v>2151</v>
      </c>
    </row>
    <row r="4" spans="1:6" x14ac:dyDescent="0.25">
      <c r="A4" s="78">
        <v>44197</v>
      </c>
      <c r="B4" s="14">
        <v>221.01</v>
      </c>
      <c r="C4" s="14">
        <v>163.13</v>
      </c>
      <c r="D4" s="14">
        <v>123.59</v>
      </c>
      <c r="E4" s="14">
        <v>35.44</v>
      </c>
      <c r="F4" s="14">
        <v>82.58</v>
      </c>
    </row>
    <row r="5" spans="1:6" x14ac:dyDescent="0.25">
      <c r="A5" s="78">
        <v>44228</v>
      </c>
      <c r="B5" s="14">
        <v>242.69</v>
      </c>
      <c r="C5" s="14">
        <v>158.46</v>
      </c>
      <c r="D5" s="14">
        <v>119.78</v>
      </c>
      <c r="E5" s="14">
        <v>38.78</v>
      </c>
      <c r="F5" s="14">
        <v>83.1</v>
      </c>
    </row>
    <row r="6" spans="1:6" x14ac:dyDescent="0.25">
      <c r="A6" s="78">
        <v>44256</v>
      </c>
      <c r="B6" s="14">
        <v>243.58</v>
      </c>
      <c r="C6" s="14">
        <v>164.35</v>
      </c>
      <c r="D6" s="14">
        <v>119.84</v>
      </c>
      <c r="E6" s="14">
        <v>38.65</v>
      </c>
      <c r="F6" s="14">
        <v>83.64</v>
      </c>
    </row>
    <row r="7" spans="1:6" x14ac:dyDescent="0.25">
      <c r="A7" s="78">
        <v>44287</v>
      </c>
      <c r="B7" s="14">
        <v>262.63</v>
      </c>
      <c r="C7" s="14">
        <v>162.72999999999999</v>
      </c>
      <c r="D7" s="14">
        <v>120.08</v>
      </c>
      <c r="E7" s="14">
        <v>43.6</v>
      </c>
      <c r="F7" s="14">
        <v>95.52</v>
      </c>
    </row>
    <row r="8" spans="1:6" x14ac:dyDescent="0.25">
      <c r="A8" s="78">
        <v>44317</v>
      </c>
      <c r="B8" s="14">
        <v>255.27</v>
      </c>
      <c r="C8" s="14">
        <v>169.25</v>
      </c>
      <c r="D8" s="14">
        <v>116.65</v>
      </c>
      <c r="E8" s="14">
        <v>42.55</v>
      </c>
      <c r="F8" s="14">
        <v>95.9</v>
      </c>
    </row>
    <row r="9" spans="1:6" x14ac:dyDescent="0.25">
      <c r="A9" s="78">
        <v>44348</v>
      </c>
      <c r="B9" s="14">
        <v>259.73</v>
      </c>
      <c r="C9" s="14">
        <v>164.74</v>
      </c>
      <c r="D9" s="14">
        <v>115.93</v>
      </c>
      <c r="E9" s="14">
        <v>42.76</v>
      </c>
      <c r="F9" s="14">
        <v>103.57</v>
      </c>
    </row>
    <row r="10" spans="1:6" x14ac:dyDescent="0.25">
      <c r="A10" s="78">
        <v>44378</v>
      </c>
      <c r="B10" s="14">
        <v>270.94</v>
      </c>
      <c r="C10" s="14">
        <v>172.2</v>
      </c>
      <c r="D10" s="14">
        <v>120.98</v>
      </c>
      <c r="E10" s="14">
        <v>45.6</v>
      </c>
      <c r="F10" s="14">
        <v>112.27</v>
      </c>
    </row>
    <row r="11" spans="1:6" x14ac:dyDescent="0.25">
      <c r="A11" s="78">
        <v>44409</v>
      </c>
      <c r="B11" s="14">
        <v>277.10000000000002</v>
      </c>
      <c r="C11" s="14">
        <v>173.13</v>
      </c>
      <c r="D11" s="14">
        <v>126.37</v>
      </c>
      <c r="E11" s="14">
        <v>45.15</v>
      </c>
      <c r="F11" s="14">
        <v>117.18</v>
      </c>
    </row>
    <row r="12" spans="1:6" x14ac:dyDescent="0.25">
      <c r="A12" s="78">
        <v>44440</v>
      </c>
      <c r="B12" s="14">
        <v>263.72000000000003</v>
      </c>
      <c r="C12" s="14">
        <v>161.5</v>
      </c>
      <c r="D12" s="14">
        <v>118.13</v>
      </c>
      <c r="E12" s="14">
        <v>43.39</v>
      </c>
      <c r="F12" s="14">
        <v>113.21</v>
      </c>
    </row>
    <row r="13" spans="1:6" x14ac:dyDescent="0.25">
      <c r="A13" s="78">
        <v>44470</v>
      </c>
      <c r="B13" s="14">
        <v>266.07</v>
      </c>
      <c r="C13" s="14">
        <v>162.88</v>
      </c>
      <c r="D13" s="14">
        <v>128.88999999999999</v>
      </c>
      <c r="E13" s="14">
        <v>43.13</v>
      </c>
      <c r="F13" s="14">
        <v>119.82</v>
      </c>
    </row>
    <row r="14" spans="1:6" x14ac:dyDescent="0.25">
      <c r="A14" s="78">
        <v>44501</v>
      </c>
      <c r="B14" s="14">
        <v>236.63</v>
      </c>
      <c r="C14" s="14">
        <v>155.93</v>
      </c>
      <c r="D14" s="14">
        <v>125.77</v>
      </c>
      <c r="E14" s="14">
        <v>38.07</v>
      </c>
      <c r="F14" s="14">
        <v>107.31</v>
      </c>
    </row>
    <row r="15" spans="1:6" x14ac:dyDescent="0.25">
      <c r="A15" s="78">
        <v>44531</v>
      </c>
      <c r="B15" s="14">
        <v>267.42</v>
      </c>
      <c r="C15" s="14">
        <v>171.07</v>
      </c>
      <c r="D15" s="14">
        <v>140.74</v>
      </c>
      <c r="E15" s="14">
        <v>42.48</v>
      </c>
      <c r="F15" s="14">
        <v>129.55000000000001</v>
      </c>
    </row>
    <row r="16" spans="1:6" x14ac:dyDescent="0.25">
      <c r="A16" s="78">
        <v>44562</v>
      </c>
      <c r="B16" s="14">
        <v>248.05</v>
      </c>
      <c r="C16" s="14">
        <v>172.29</v>
      </c>
      <c r="D16" s="14">
        <v>127.46</v>
      </c>
      <c r="E16" s="14">
        <v>42.9</v>
      </c>
      <c r="F16" s="14">
        <v>109.2</v>
      </c>
    </row>
    <row r="17" spans="1:6" x14ac:dyDescent="0.25">
      <c r="A17" s="78">
        <v>44593</v>
      </c>
      <c r="B17" s="14">
        <v>263.35000000000002</v>
      </c>
      <c r="C17" s="14">
        <v>164.57</v>
      </c>
      <c r="D17" s="14">
        <v>120.62</v>
      </c>
      <c r="E17" s="14">
        <v>44.17</v>
      </c>
      <c r="F17" s="14">
        <v>112.37</v>
      </c>
    </row>
    <row r="18" spans="1:6" x14ac:dyDescent="0.25">
      <c r="A18" s="78">
        <v>44621</v>
      </c>
      <c r="B18" s="14">
        <v>267.35000000000002</v>
      </c>
      <c r="C18" s="14">
        <v>177.23</v>
      </c>
      <c r="D18" s="14">
        <v>118.36</v>
      </c>
      <c r="E18" s="14">
        <v>44.29</v>
      </c>
      <c r="F18" s="14">
        <v>117.72</v>
      </c>
    </row>
    <row r="19" spans="1:6" x14ac:dyDescent="0.25">
      <c r="A19" s="78">
        <v>44652</v>
      </c>
      <c r="B19" s="14">
        <v>241.26</v>
      </c>
      <c r="C19" s="14">
        <v>180.46</v>
      </c>
      <c r="D19" s="14">
        <v>113.5</v>
      </c>
      <c r="E19" s="14">
        <v>42.11</v>
      </c>
      <c r="F19" s="14">
        <v>105.78</v>
      </c>
    </row>
    <row r="20" spans="1:6" x14ac:dyDescent="0.25">
      <c r="A20" s="78">
        <v>44682</v>
      </c>
      <c r="B20" s="14">
        <v>234.5</v>
      </c>
      <c r="C20" s="14">
        <v>179.53</v>
      </c>
      <c r="D20" s="14">
        <v>117.46</v>
      </c>
      <c r="E20" s="14">
        <v>41.01</v>
      </c>
      <c r="F20" s="14">
        <v>100.85</v>
      </c>
    </row>
    <row r="21" spans="1:6" x14ac:dyDescent="0.25">
      <c r="A21" s="78">
        <v>44713</v>
      </c>
      <c r="B21" s="14">
        <v>198.93</v>
      </c>
      <c r="C21" s="14">
        <v>177.51</v>
      </c>
      <c r="D21" s="14">
        <v>108.65</v>
      </c>
      <c r="E21" s="14">
        <v>37.270000000000003</v>
      </c>
      <c r="F21" s="14">
        <v>95.09</v>
      </c>
    </row>
    <row r="22" spans="1:6" x14ac:dyDescent="0.25">
      <c r="A22" s="78">
        <v>44743</v>
      </c>
      <c r="B22" s="14">
        <v>214.75</v>
      </c>
      <c r="C22" s="14">
        <v>174.52</v>
      </c>
      <c r="D22" s="14">
        <v>108.84</v>
      </c>
      <c r="E22" s="14">
        <v>41.05</v>
      </c>
      <c r="F22" s="14">
        <v>100.54</v>
      </c>
    </row>
    <row r="23" spans="1:6" x14ac:dyDescent="0.25">
      <c r="A23" s="78">
        <v>44774</v>
      </c>
      <c r="B23" s="14">
        <v>205.2</v>
      </c>
      <c r="C23" s="14">
        <v>161.34</v>
      </c>
      <c r="D23" s="14">
        <v>102.65</v>
      </c>
      <c r="E23" s="14">
        <v>40.31</v>
      </c>
      <c r="F23" s="14">
        <v>90.1</v>
      </c>
    </row>
    <row r="24" spans="1:6" x14ac:dyDescent="0.25">
      <c r="A24" s="78">
        <v>44805</v>
      </c>
      <c r="B24" s="14">
        <v>202.54</v>
      </c>
      <c r="C24" s="14">
        <v>163.36000000000001</v>
      </c>
      <c r="D24" s="14">
        <v>96.76</v>
      </c>
      <c r="E24" s="14">
        <v>38.729999999999997</v>
      </c>
      <c r="F24" s="14">
        <v>82.63</v>
      </c>
    </row>
    <row r="25" spans="1:6" x14ac:dyDescent="0.25">
      <c r="A25" s="78">
        <v>44835</v>
      </c>
      <c r="B25" s="14">
        <v>229.24</v>
      </c>
      <c r="C25" s="14">
        <v>173.97</v>
      </c>
      <c r="D25" s="14">
        <v>98.94</v>
      </c>
      <c r="E25" s="14">
        <v>43.11</v>
      </c>
      <c r="F25" s="14">
        <v>72.430000000000007</v>
      </c>
    </row>
    <row r="26" spans="1:6" x14ac:dyDescent="0.25">
      <c r="A26" s="78">
        <v>44866</v>
      </c>
      <c r="B26" s="14">
        <v>233.89</v>
      </c>
      <c r="C26" s="14">
        <v>178</v>
      </c>
      <c r="D26" s="14">
        <v>107.58</v>
      </c>
      <c r="E26" s="14">
        <v>45.27</v>
      </c>
      <c r="F26" s="14">
        <v>77.25</v>
      </c>
    </row>
    <row r="27" spans="1:6" x14ac:dyDescent="0.25">
      <c r="A27" s="78">
        <v>44896</v>
      </c>
      <c r="B27" s="14">
        <v>244.49</v>
      </c>
      <c r="C27" s="14">
        <v>176.65</v>
      </c>
      <c r="D27" s="14">
        <v>109.79</v>
      </c>
      <c r="E27" s="14">
        <v>46.27</v>
      </c>
      <c r="F27" s="14">
        <v>74.61</v>
      </c>
    </row>
    <row r="28" spans="1:6" x14ac:dyDescent="0.25">
      <c r="A28" s="78">
        <v>44927</v>
      </c>
      <c r="B28" s="14">
        <v>253.81</v>
      </c>
      <c r="C28" s="14">
        <v>163.41999999999999</v>
      </c>
      <c r="D28" s="14">
        <v>110.55</v>
      </c>
      <c r="E28" s="14">
        <v>46.25</v>
      </c>
      <c r="F28" s="14">
        <v>76.7</v>
      </c>
    </row>
    <row r="29" spans="1:6" x14ac:dyDescent="0.25">
      <c r="A29" s="78">
        <v>44958</v>
      </c>
      <c r="B29" s="14">
        <v>262.88</v>
      </c>
      <c r="C29" s="14">
        <v>153.26</v>
      </c>
      <c r="D29" s="14">
        <v>101.72</v>
      </c>
      <c r="E29" s="14">
        <v>46.72</v>
      </c>
      <c r="F29" s="14">
        <v>80.44</v>
      </c>
    </row>
    <row r="30" spans="1:6" x14ac:dyDescent="0.25">
      <c r="A30" s="78">
        <v>44986</v>
      </c>
      <c r="B30" s="14">
        <v>285.47000000000003</v>
      </c>
      <c r="C30" s="14">
        <v>155</v>
      </c>
      <c r="D30" s="14">
        <v>101.26</v>
      </c>
      <c r="E30" s="14">
        <v>50.03</v>
      </c>
      <c r="F30" s="14">
        <v>82.73</v>
      </c>
    </row>
    <row r="31" spans="1:6" x14ac:dyDescent="0.25">
      <c r="A31" s="78">
        <v>45017</v>
      </c>
      <c r="B31" s="14">
        <v>299.64999999999998</v>
      </c>
      <c r="C31" s="14">
        <v>163.69999999999999</v>
      </c>
      <c r="D31" s="14">
        <v>110.47</v>
      </c>
      <c r="E31" s="14">
        <v>52.12</v>
      </c>
      <c r="F31" s="14">
        <v>87.98</v>
      </c>
    </row>
    <row r="32" spans="1:6" x14ac:dyDescent="0.25">
      <c r="A32" s="78">
        <v>45047</v>
      </c>
      <c r="B32" s="14">
        <v>275.58</v>
      </c>
      <c r="C32" s="14">
        <v>155.06</v>
      </c>
      <c r="D32" s="14">
        <v>102</v>
      </c>
      <c r="E32" s="14">
        <v>51.48</v>
      </c>
      <c r="F32" s="14">
        <v>84.23</v>
      </c>
    </row>
    <row r="33" spans="1:6" x14ac:dyDescent="0.25">
      <c r="A33" s="78">
        <v>45078</v>
      </c>
      <c r="B33" s="14">
        <v>305.08999999999997</v>
      </c>
      <c r="C33" s="14">
        <v>165.52</v>
      </c>
      <c r="D33" s="14">
        <v>109.02</v>
      </c>
      <c r="E33" s="14">
        <v>54.09</v>
      </c>
      <c r="F33" s="14">
        <v>94.33</v>
      </c>
    </row>
    <row r="34" spans="1:6" x14ac:dyDescent="0.25">
      <c r="A34" s="78">
        <v>45108</v>
      </c>
      <c r="B34" s="14">
        <v>283.41000000000003</v>
      </c>
      <c r="C34" s="14">
        <v>167.53</v>
      </c>
      <c r="D34" s="14">
        <v>111.33</v>
      </c>
      <c r="E34" s="14">
        <v>51.85</v>
      </c>
      <c r="F34" s="14">
        <v>82.07</v>
      </c>
    </row>
    <row r="35" spans="1:6" x14ac:dyDescent="0.25">
      <c r="A35" s="78">
        <v>45139</v>
      </c>
      <c r="B35" s="14">
        <v>283.55</v>
      </c>
      <c r="C35" s="14">
        <v>161.68</v>
      </c>
      <c r="D35" s="14">
        <v>102.9</v>
      </c>
      <c r="E35" s="14">
        <v>53.94</v>
      </c>
      <c r="F35" s="14">
        <v>76.47</v>
      </c>
    </row>
    <row r="36" spans="1:6" x14ac:dyDescent="0.25">
      <c r="A36" s="78">
        <v>45170</v>
      </c>
      <c r="B36" s="14">
        <v>273.27</v>
      </c>
      <c r="C36" s="14">
        <v>155.75</v>
      </c>
      <c r="D36" s="14">
        <v>96.85</v>
      </c>
      <c r="E36" s="14">
        <v>52.8</v>
      </c>
      <c r="F36" s="14">
        <v>69.28</v>
      </c>
    </row>
    <row r="37" spans="1:6" x14ac:dyDescent="0.25">
      <c r="A37" s="78">
        <v>45200</v>
      </c>
      <c r="B37" s="14">
        <v>270.22000000000003</v>
      </c>
      <c r="C37" s="14">
        <v>148.34</v>
      </c>
      <c r="D37" s="14">
        <v>94.55</v>
      </c>
      <c r="E37" s="14">
        <v>51.19</v>
      </c>
      <c r="F37" s="14">
        <v>63.72</v>
      </c>
    </row>
    <row r="38" spans="1:6" x14ac:dyDescent="0.25">
      <c r="A38" s="78">
        <v>45231</v>
      </c>
      <c r="B38" s="14">
        <v>296.33</v>
      </c>
      <c r="C38" s="14">
        <v>154.66</v>
      </c>
      <c r="D38" s="14">
        <v>104.29</v>
      </c>
      <c r="E38" s="14">
        <v>55.89</v>
      </c>
      <c r="F38" s="14">
        <v>67.709999999999994</v>
      </c>
    </row>
    <row r="39" spans="1:6" x14ac:dyDescent="0.25">
      <c r="A39" s="78">
        <v>45261</v>
      </c>
      <c r="B39" s="14">
        <v>299.45999999999998</v>
      </c>
      <c r="C39" s="14">
        <v>156.74</v>
      </c>
      <c r="D39" s="14">
        <v>110.07</v>
      </c>
      <c r="E39" s="14">
        <v>57.81</v>
      </c>
      <c r="F39" s="14">
        <v>76.25</v>
      </c>
    </row>
    <row r="40" spans="1:6" x14ac:dyDescent="0.25">
      <c r="A40" s="78">
        <v>45292</v>
      </c>
      <c r="B40" s="14">
        <v>335.48</v>
      </c>
      <c r="C40" s="14">
        <v>158.9</v>
      </c>
      <c r="D40" s="14">
        <v>113.15</v>
      </c>
      <c r="E40" s="14">
        <v>63.26</v>
      </c>
      <c r="F40" s="14">
        <v>78.47</v>
      </c>
    </row>
    <row r="41" spans="1:6" x14ac:dyDescent="0.25">
      <c r="A41" s="78">
        <v>45323</v>
      </c>
      <c r="B41" s="14">
        <v>349.07</v>
      </c>
      <c r="C41" s="14">
        <v>161.38</v>
      </c>
      <c r="D41" s="14">
        <v>118.64</v>
      </c>
      <c r="E41" s="14">
        <v>66.209999999999994</v>
      </c>
      <c r="F41" s="14">
        <v>84.87</v>
      </c>
    </row>
    <row r="42" spans="1:6" x14ac:dyDescent="0.25">
      <c r="A42" s="78">
        <v>45352</v>
      </c>
      <c r="B42" s="14">
        <v>357.87</v>
      </c>
      <c r="C42" s="14">
        <v>158.19</v>
      </c>
      <c r="D42" s="14">
        <v>113.66</v>
      </c>
      <c r="E42" s="14">
        <v>68.489999999999995</v>
      </c>
      <c r="F42" s="14">
        <v>95.56</v>
      </c>
    </row>
    <row r="43" spans="1:6" x14ac:dyDescent="0.25">
      <c r="A43" s="78">
        <v>45383</v>
      </c>
      <c r="B43" s="14">
        <v>336.5</v>
      </c>
      <c r="C43" s="14">
        <v>144.59</v>
      </c>
      <c r="D43" s="14">
        <v>105.97</v>
      </c>
      <c r="E43" s="14">
        <v>71.87</v>
      </c>
      <c r="F43" s="14">
        <v>84.67</v>
      </c>
    </row>
    <row r="44" spans="1:6" x14ac:dyDescent="0.25">
      <c r="A44" s="78">
        <v>45413</v>
      </c>
      <c r="B44" s="14">
        <v>341.09</v>
      </c>
      <c r="C44" s="14">
        <v>146.66999999999999</v>
      </c>
      <c r="D44" s="14">
        <v>102.19</v>
      </c>
      <c r="E44" s="14">
        <v>75.569999999999993</v>
      </c>
      <c r="F44" s="14">
        <v>86.89</v>
      </c>
    </row>
    <row r="45" spans="1:6" x14ac:dyDescent="0.25">
      <c r="A45" s="78">
        <v>45444</v>
      </c>
      <c r="B45" s="14">
        <v>340.25</v>
      </c>
      <c r="C45" s="14">
        <v>146.16</v>
      </c>
      <c r="D45" s="14">
        <v>103.91</v>
      </c>
      <c r="E45" s="14">
        <v>77.010000000000005</v>
      </c>
      <c r="F45" s="14">
        <v>92.37</v>
      </c>
    </row>
    <row r="46" spans="1:6" x14ac:dyDescent="0.25">
      <c r="A46" s="78">
        <v>45474</v>
      </c>
      <c r="B46" s="14">
        <v>327.45</v>
      </c>
      <c r="C46" s="14">
        <v>157.85</v>
      </c>
      <c r="D46" s="14">
        <v>105.94</v>
      </c>
      <c r="E46" s="14">
        <v>73.88</v>
      </c>
      <c r="F46" s="14">
        <v>63.05</v>
      </c>
    </row>
    <row r="47" spans="1:6" x14ac:dyDescent="0.25">
      <c r="A47" s="78">
        <v>45505</v>
      </c>
      <c r="B47" s="14">
        <v>360.42</v>
      </c>
      <c r="C47" s="14">
        <v>165.86</v>
      </c>
      <c r="D47" s="14">
        <v>113.27</v>
      </c>
      <c r="E47" s="14">
        <v>81.790000000000006</v>
      </c>
      <c r="F47" s="14">
        <v>69.959999999999994</v>
      </c>
    </row>
    <row r="48" spans="1:6" x14ac:dyDescent="0.25">
      <c r="A48" s="78">
        <v>45536</v>
      </c>
      <c r="B48" s="14">
        <v>361.26</v>
      </c>
      <c r="C48" s="14">
        <v>162.06</v>
      </c>
      <c r="D48" s="14">
        <v>114.01</v>
      </c>
      <c r="E48" s="14">
        <v>83.8</v>
      </c>
      <c r="F48" s="14">
        <v>65.989999999999995</v>
      </c>
    </row>
    <row r="49" spans="1:6" x14ac:dyDescent="0.25">
      <c r="A49" s="78">
        <v>45566</v>
      </c>
      <c r="B49" s="14">
        <v>356.28</v>
      </c>
      <c r="C49" s="14">
        <v>159.86000000000001</v>
      </c>
      <c r="D49" s="14">
        <v>113.37</v>
      </c>
      <c r="E49" s="14">
        <v>84.02</v>
      </c>
      <c r="F49" s="14">
        <v>67.010000000000005</v>
      </c>
    </row>
    <row r="50" spans="1:6" x14ac:dyDescent="0.25">
      <c r="A50" s="78">
        <v>45597</v>
      </c>
      <c r="B50" s="14">
        <v>392.15</v>
      </c>
      <c r="C50" s="14">
        <v>155.01</v>
      </c>
      <c r="D50" s="14">
        <v>118.77</v>
      </c>
      <c r="E50" s="14">
        <v>90.66</v>
      </c>
      <c r="F50" s="14">
        <v>71.349999999999994</v>
      </c>
    </row>
    <row r="51" spans="1:6" x14ac:dyDescent="0.25">
      <c r="A51" s="78">
        <v>45627</v>
      </c>
      <c r="B51" s="14">
        <v>360.05</v>
      </c>
      <c r="C51" s="14">
        <v>144.62</v>
      </c>
      <c r="D51" s="14">
        <v>113.11</v>
      </c>
      <c r="E51" s="14">
        <v>89.32</v>
      </c>
      <c r="F51" s="14">
        <v>74.03</v>
      </c>
    </row>
    <row r="52" spans="1:6" x14ac:dyDescent="0.25">
      <c r="A52" s="78">
        <v>45658</v>
      </c>
      <c r="B52" s="14">
        <v>391.29</v>
      </c>
      <c r="C52" s="14">
        <v>152.15</v>
      </c>
      <c r="D52" s="14">
        <v>127.93</v>
      </c>
      <c r="E52" s="14">
        <v>102.36</v>
      </c>
      <c r="F52" s="14">
        <v>72.45</v>
      </c>
    </row>
    <row r="53" spans="1:6" x14ac:dyDescent="0.25">
      <c r="A53" s="78">
        <v>45689</v>
      </c>
      <c r="B53" s="14">
        <v>386.19</v>
      </c>
      <c r="C53" s="14">
        <v>165.02</v>
      </c>
      <c r="D53" s="14">
        <v>138.01</v>
      </c>
      <c r="E53" s="14">
        <v>103.79</v>
      </c>
      <c r="F53" s="14">
        <v>71.62</v>
      </c>
    </row>
    <row r="54" spans="1:6" x14ac:dyDescent="0.25">
      <c r="A54" s="78">
        <v>45717</v>
      </c>
      <c r="B54" s="14">
        <v>372.25</v>
      </c>
      <c r="C54" s="14">
        <v>165.84</v>
      </c>
      <c r="D54" s="14">
        <v>132.65</v>
      </c>
      <c r="E54" s="14">
        <v>100.88</v>
      </c>
      <c r="F54" s="14">
        <v>72.48</v>
      </c>
    </row>
    <row r="55" spans="1:6" x14ac:dyDescent="0.25">
      <c r="A55" s="78">
        <v>45748</v>
      </c>
      <c r="B55" s="14">
        <v>373.92</v>
      </c>
      <c r="C55" s="14">
        <v>156.31</v>
      </c>
      <c r="D55" s="14">
        <v>130.75</v>
      </c>
      <c r="E55" s="14">
        <v>102.87</v>
      </c>
      <c r="F55" s="14">
        <v>75.489999999999995</v>
      </c>
    </row>
    <row r="56" spans="1:6" x14ac:dyDescent="0.25">
      <c r="A56" s="78">
        <v>45778</v>
      </c>
      <c r="B56" s="14">
        <v>382.64</v>
      </c>
      <c r="C56" s="14">
        <v>155.21</v>
      </c>
      <c r="D56" s="14">
        <v>133.58000000000001</v>
      </c>
      <c r="E56" s="14">
        <v>105.26</v>
      </c>
      <c r="F56" s="14">
        <v>78.22</v>
      </c>
    </row>
    <row r="57" spans="1:6" x14ac:dyDescent="0.25">
      <c r="A57" s="78">
        <v>45809</v>
      </c>
      <c r="B57" s="14">
        <v>395.63</v>
      </c>
      <c r="C57" s="14">
        <v>152.75</v>
      </c>
      <c r="D57" s="14">
        <v>136.01</v>
      </c>
      <c r="E57" s="14">
        <v>107.41</v>
      </c>
      <c r="F57" s="14">
        <v>78.209999999999994</v>
      </c>
    </row>
    <row r="58" spans="1:6" x14ac:dyDescent="0.25">
      <c r="A58" s="78">
        <v>45839</v>
      </c>
      <c r="B58" s="14">
        <v>392.73</v>
      </c>
      <c r="C58" s="14">
        <v>164.74</v>
      </c>
      <c r="D58" s="14">
        <v>126.19</v>
      </c>
      <c r="E58" s="14">
        <v>104.92</v>
      </c>
      <c r="F58" s="14">
        <v>79.31</v>
      </c>
    </row>
    <row r="59" spans="1:6" x14ac:dyDescent="0.25">
      <c r="A59" s="78">
        <v>45870</v>
      </c>
      <c r="B59" s="14">
        <v>391.41</v>
      </c>
      <c r="C59" s="14">
        <v>177.17</v>
      </c>
      <c r="D59" s="14">
        <v>132.66</v>
      </c>
      <c r="E59" s="14">
        <v>105.5</v>
      </c>
      <c r="F59" s="14">
        <v>81.34</v>
      </c>
    </row>
    <row r="60" spans="1:6" x14ac:dyDescent="0.25">
      <c r="A60" s="78">
        <v>45901</v>
      </c>
      <c r="B60" s="14">
        <v>369.67</v>
      </c>
      <c r="C60" s="14">
        <v>185.42</v>
      </c>
      <c r="D60" s="14">
        <v>133.94</v>
      </c>
      <c r="E60" s="14">
        <v>97.63</v>
      </c>
      <c r="F60" s="14">
        <v>77.77</v>
      </c>
    </row>
    <row r="61" spans="1:6" x14ac:dyDescent="0.25">
      <c r="A61" s="78">
        <v>45931</v>
      </c>
      <c r="B61" s="14">
        <v>356.24</v>
      </c>
      <c r="C61" s="14">
        <v>188.87</v>
      </c>
      <c r="D61" s="14">
        <v>123.62</v>
      </c>
      <c r="E61" s="14">
        <v>100.72</v>
      </c>
      <c r="F61" s="14">
        <v>82.45</v>
      </c>
    </row>
    <row r="62" spans="1:6" x14ac:dyDescent="0.25">
      <c r="A62" s="78">
        <v>45962</v>
      </c>
      <c r="B62" s="14">
        <v>371.18</v>
      </c>
      <c r="C62" s="14">
        <v>206.92</v>
      </c>
      <c r="D62" s="14">
        <v>128.9</v>
      </c>
      <c r="E62" s="14">
        <v>101.58</v>
      </c>
      <c r="F62" s="14">
        <v>86.67</v>
      </c>
    </row>
    <row r="63" spans="1:6" x14ac:dyDescent="0.25">
      <c r="A63" s="78">
        <v>45992</v>
      </c>
      <c r="B63" s="14">
        <v>351.47</v>
      </c>
      <c r="C63" s="14">
        <v>206.95</v>
      </c>
      <c r="D63" s="14">
        <v>125.29</v>
      </c>
      <c r="E63" s="14">
        <v>95.35</v>
      </c>
      <c r="F63" s="14">
        <v>85.25</v>
      </c>
    </row>
    <row r="64" spans="1:6" x14ac:dyDescent="0.25">
      <c r="A64" s="78">
        <v>46023</v>
      </c>
      <c r="B64" s="14">
        <v>369.56</v>
      </c>
      <c r="C64" s="14">
        <v>227.25</v>
      </c>
      <c r="D64" s="14">
        <v>109.3</v>
      </c>
      <c r="E64" s="14">
        <v>93.53</v>
      </c>
      <c r="F64" s="14">
        <v>81.36</v>
      </c>
    </row>
    <row r="65" spans="1:6" x14ac:dyDescent="0.25">
      <c r="A65" s="78">
        <v>46054</v>
      </c>
      <c r="B65" s="14">
        <v>387.46</v>
      </c>
      <c r="C65" s="14">
        <v>248.43</v>
      </c>
      <c r="D65" s="14">
        <v>116.35</v>
      </c>
      <c r="E65" s="14">
        <v>76.849999999999994</v>
      </c>
      <c r="F65" s="14">
        <v>86.47</v>
      </c>
    </row>
    <row r="66" spans="1:6" x14ac:dyDescent="0.25">
      <c r="A66" s="78">
        <v>46082</v>
      </c>
      <c r="B66" s="14">
        <v>328.59</v>
      </c>
      <c r="C66" s="14">
        <v>244.44</v>
      </c>
      <c r="D66" s="14">
        <v>102.67</v>
      </c>
      <c r="E66" s="14">
        <v>62.75</v>
      </c>
      <c r="F66" s="14">
        <v>80.08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0FB3-6937-4905-AE72-286172CD72C2}">
  <sheetPr codeName="Sheet8">
    <tabColor theme="9" tint="0.59999389629810485"/>
  </sheetPr>
  <dimension ref="A1:R72"/>
  <sheetViews>
    <sheetView tabSelected="1" workbookViewId="0">
      <pane ySplit="1" topLeftCell="A2" activePane="bottomLeft" state="frozen"/>
      <selection pane="bottomLeft" activeCell="B2" sqref="B2"/>
    </sheetView>
  </sheetViews>
  <sheetFormatPr defaultRowHeight="15" x14ac:dyDescent="0.25"/>
  <cols>
    <col min="1" max="1" width="17.28515625" bestFit="1" customWidth="1"/>
    <col min="2" max="2" width="9.7109375" bestFit="1" customWidth="1"/>
    <col min="3" max="3" width="11.42578125" bestFit="1" customWidth="1"/>
    <col min="4" max="4" width="9" bestFit="1" customWidth="1"/>
    <col min="5" max="5" width="11.140625" bestFit="1" customWidth="1"/>
    <col min="6" max="6" width="9" bestFit="1" customWidth="1"/>
    <col min="7" max="7" width="11.7109375" bestFit="1" customWidth="1"/>
    <col min="8" max="8" width="9" bestFit="1" customWidth="1"/>
    <col min="9" max="9" width="11.5703125" bestFit="1" customWidth="1"/>
    <col min="10" max="10" width="9" bestFit="1" customWidth="1"/>
    <col min="11" max="11" width="11.140625" bestFit="1" customWidth="1"/>
    <col min="12" max="12" width="10.5703125" bestFit="1" customWidth="1"/>
    <col min="13" max="13" width="11.85546875" bestFit="1" customWidth="1"/>
  </cols>
  <sheetData>
    <row r="1" spans="1:13" x14ac:dyDescent="0.25">
      <c r="A1" t="s">
        <v>1515</v>
      </c>
      <c r="B1" t="s">
        <v>1498</v>
      </c>
      <c r="C1" t="s">
        <v>1507</v>
      </c>
      <c r="D1" t="s">
        <v>1499</v>
      </c>
      <c r="E1" t="s">
        <v>1508</v>
      </c>
      <c r="F1" t="s">
        <v>1501</v>
      </c>
      <c r="G1" t="s">
        <v>1509</v>
      </c>
      <c r="H1" t="s">
        <v>1500</v>
      </c>
      <c r="I1" t="s">
        <v>1510</v>
      </c>
      <c r="J1" t="s">
        <v>1502</v>
      </c>
      <c r="K1" t="s">
        <v>1511</v>
      </c>
      <c r="L1" t="s">
        <v>1506</v>
      </c>
      <c r="M1" t="s">
        <v>1512</v>
      </c>
    </row>
    <row r="2" spans="1:13" x14ac:dyDescent="0.25">
      <c r="A2" s="16">
        <v>44197</v>
      </c>
      <c r="B2" s="14" cm="1" vm="2">
        <f t="array" aca="1" ref="B2:B64" ca="1">_xlfn.STOCKHISTORY(B$1,$A$2,$A$64,2,0,1)</f>
        <v>221.01</v>
      </c>
      <c r="C2" s="15">
        <f ca="1">B3/B2-1</f>
        <v>9.8095108818605503E-2</v>
      </c>
      <c r="D2" s="14" cm="1" vm="3">
        <f t="array" aca="1" ref="D2:D64" ca="1">_xlfn.STOCKHISTORY(D$1,$A$2,$A$64,2,0,1)</f>
        <v>163.13</v>
      </c>
      <c r="E2" s="15">
        <f ca="1">D3/D2-1</f>
        <v>-2.8627475019922688E-2</v>
      </c>
      <c r="F2" s="14" cm="1" vm="4">
        <f t="array" aca="1" ref="F2:F64" ca="1">_xlfn.STOCKHISTORY(F$1,$A$2,$A$64,2,0,1)</f>
        <v>123.59</v>
      </c>
      <c r="G2" s="15">
        <f ca="1">F3/F2-1</f>
        <v>-3.0827736871915201E-2</v>
      </c>
      <c r="H2" s="14" cm="1" vm="5">
        <f t="array" aca="1" ref="H2:H64" ca="1">_xlfn.STOCKHISTORY(H$1,$A$2,$A$64,2,0,1)</f>
        <v>35.44</v>
      </c>
      <c r="I2" s="15">
        <f ca="1">H3/H2-1</f>
        <v>9.424379232505653E-2</v>
      </c>
      <c r="J2" s="14" cm="1" vm="6">
        <f t="array" aca="1" ref="J2:J64" ca="1">_xlfn.STOCKHISTORY(J$1,$A$2,$A$64,2,0,1)</f>
        <v>82.58</v>
      </c>
      <c r="K2" s="15">
        <f ca="1">J3/J2-1</f>
        <v>6.296924194720166E-3</v>
      </c>
      <c r="L2" s="14" vm="7">
        <v>3714.24</v>
      </c>
      <c r="M2" s="15">
        <f>L3/L2-1</f>
        <v>2.6091474971999817E-2</v>
      </c>
    </row>
    <row r="3" spans="1:13" x14ac:dyDescent="0.25">
      <c r="A3" s="16">
        <v>44228</v>
      </c>
      <c r="B3" s="14" vm="8">
        <f ca="1"/>
        <v>242.69</v>
      </c>
      <c r="C3" s="15">
        <f t="shared" ref="C3:C63" ca="1" si="0">B4/B3-1</f>
        <v>3.6672297993325387E-3</v>
      </c>
      <c r="D3" s="14" vm="9">
        <f ca="1"/>
        <v>158.46</v>
      </c>
      <c r="E3" s="15">
        <f t="shared" ref="E3:E63" ca="1" si="1">D4/D3-1</f>
        <v>3.7170263788968816E-2</v>
      </c>
      <c r="F3" s="14" vm="10">
        <f ca="1"/>
        <v>119.78</v>
      </c>
      <c r="G3" s="15">
        <f t="shared" ref="G3:G63" ca="1" si="2">F4/F3-1</f>
        <v>5.0091835030885434E-4</v>
      </c>
      <c r="H3" s="14" vm="11">
        <f ca="1"/>
        <v>38.78</v>
      </c>
      <c r="I3" s="15">
        <f t="shared" ref="I3:I63" ca="1" si="3">H4/H3-1</f>
        <v>-3.3522434244456223E-3</v>
      </c>
      <c r="J3" s="14" vm="12">
        <f ca="1"/>
        <v>83.1</v>
      </c>
      <c r="K3" s="15">
        <f t="shared" ref="K3:K63" ca="1" si="4">J4/J3-1</f>
        <v>6.4981949458484678E-3</v>
      </c>
      <c r="L3" s="14" vm="13">
        <v>3811.15</v>
      </c>
      <c r="M3" s="15">
        <f t="shared" ref="M3:M63" si="5">L4/L3-1</f>
        <v>4.2438634008107767E-2</v>
      </c>
    </row>
    <row r="4" spans="1:13" x14ac:dyDescent="0.25">
      <c r="A4" s="16">
        <v>44256</v>
      </c>
      <c r="B4" s="14" vm="14">
        <f ca="1"/>
        <v>243.58</v>
      </c>
      <c r="C4" s="15">
        <f t="shared" ca="1" si="0"/>
        <v>7.8208391493554297E-2</v>
      </c>
      <c r="D4" s="14" vm="15">
        <f ca="1"/>
        <v>164.35</v>
      </c>
      <c r="E4" s="15">
        <f t="shared" ca="1" si="1"/>
        <v>-9.8570124733800002E-3</v>
      </c>
      <c r="F4" s="14" vm="16">
        <f ca="1"/>
        <v>119.84</v>
      </c>
      <c r="G4" s="15">
        <f t="shared" ca="1" si="2"/>
        <v>2.0026702269693164E-3</v>
      </c>
      <c r="H4" s="14" vm="17">
        <f ca="1"/>
        <v>38.65</v>
      </c>
      <c r="I4" s="15">
        <f t="shared" ca="1" si="3"/>
        <v>0.12807244501940507</v>
      </c>
      <c r="J4" s="14" vm="18">
        <f ca="1"/>
        <v>83.64</v>
      </c>
      <c r="K4" s="15">
        <f t="shared" ca="1" si="4"/>
        <v>0.14203730272596848</v>
      </c>
      <c r="L4" s="14" vm="19">
        <v>3972.89</v>
      </c>
      <c r="M4" s="15">
        <f t="shared" si="5"/>
        <v>5.242531255584737E-2</v>
      </c>
    </row>
    <row r="5" spans="1:13" x14ac:dyDescent="0.25">
      <c r="A5" s="16">
        <v>44287</v>
      </c>
      <c r="B5" s="14" vm="20">
        <f ca="1"/>
        <v>262.63</v>
      </c>
      <c r="C5" s="15">
        <f t="shared" ca="1" si="0"/>
        <v>-2.8024216578456329E-2</v>
      </c>
      <c r="D5" s="14" vm="21">
        <f ca="1"/>
        <v>162.72999999999999</v>
      </c>
      <c r="E5" s="15">
        <f t="shared" ca="1" si="1"/>
        <v>4.0066367602777708E-2</v>
      </c>
      <c r="F5" s="14" vm="22">
        <f ca="1"/>
        <v>120.08</v>
      </c>
      <c r="G5" s="15">
        <f t="shared" ca="1" si="2"/>
        <v>-2.8564290473017895E-2</v>
      </c>
      <c r="H5" s="14" vm="23">
        <f ca="1"/>
        <v>43.6</v>
      </c>
      <c r="I5" s="15">
        <f t="shared" ca="1" si="3"/>
        <v>-2.4082568807339499E-2</v>
      </c>
      <c r="J5" s="14" vm="24">
        <f ca="1"/>
        <v>95.52</v>
      </c>
      <c r="K5" s="15">
        <f t="shared" ca="1" si="4"/>
        <v>3.9782244556114676E-3</v>
      </c>
      <c r="L5" s="14" vm="25">
        <v>4181.17</v>
      </c>
      <c r="M5" s="15">
        <f t="shared" si="5"/>
        <v>5.4865025818131574E-3</v>
      </c>
    </row>
    <row r="6" spans="1:13" x14ac:dyDescent="0.25">
      <c r="A6" s="16">
        <v>44317</v>
      </c>
      <c r="B6" s="14" vm="26">
        <f ca="1"/>
        <v>255.27</v>
      </c>
      <c r="C6" s="15">
        <f t="shared" ca="1" si="0"/>
        <v>1.747169663493553E-2</v>
      </c>
      <c r="D6" s="14" vm="27">
        <f ca="1"/>
        <v>169.25</v>
      </c>
      <c r="E6" s="15">
        <f t="shared" ca="1" si="1"/>
        <v>-2.6646971935007313E-2</v>
      </c>
      <c r="F6" s="14" vm="28">
        <f ca="1"/>
        <v>116.65</v>
      </c>
      <c r="G6" s="15">
        <f t="shared" ca="1" si="2"/>
        <v>-6.1723103300471704E-3</v>
      </c>
      <c r="H6" s="14" vm="29">
        <f ca="1"/>
        <v>42.55</v>
      </c>
      <c r="I6" s="15">
        <f t="shared" ca="1" si="3"/>
        <v>4.9353701527614646E-3</v>
      </c>
      <c r="J6" s="14" vm="30">
        <f ca="1"/>
        <v>95.9</v>
      </c>
      <c r="K6" s="15">
        <f t="shared" ca="1" si="4"/>
        <v>7.997914494264835E-2</v>
      </c>
      <c r="L6" s="14" vm="31">
        <v>4204.1099999999997</v>
      </c>
      <c r="M6" s="15">
        <f t="shared" si="5"/>
        <v>2.221397632316946E-2</v>
      </c>
    </row>
    <row r="7" spans="1:13" x14ac:dyDescent="0.25">
      <c r="A7" s="16">
        <v>44348</v>
      </c>
      <c r="B7" s="14" vm="32">
        <f ca="1"/>
        <v>259.73</v>
      </c>
      <c r="C7" s="15">
        <f t="shared" ca="1" si="0"/>
        <v>4.3160204828090576E-2</v>
      </c>
      <c r="D7" s="14" vm="33">
        <f ca="1"/>
        <v>164.74</v>
      </c>
      <c r="E7" s="15">
        <f t="shared" ca="1" si="1"/>
        <v>4.5283476994051108E-2</v>
      </c>
      <c r="F7" s="14" vm="34">
        <f ca="1"/>
        <v>115.93</v>
      </c>
      <c r="G7" s="15">
        <f t="shared" ca="1" si="2"/>
        <v>4.3560769429828339E-2</v>
      </c>
      <c r="H7" s="14" vm="35">
        <f ca="1"/>
        <v>42.76</v>
      </c>
      <c r="I7" s="15">
        <f t="shared" ca="1" si="3"/>
        <v>6.6417212347988919E-2</v>
      </c>
      <c r="J7" s="14" vm="36">
        <f ca="1"/>
        <v>103.57</v>
      </c>
      <c r="K7" s="15">
        <f t="shared" ca="1" si="4"/>
        <v>8.4001158636670903E-2</v>
      </c>
      <c r="L7" s="14" vm="37">
        <v>4297.5</v>
      </c>
      <c r="M7" s="15">
        <f t="shared" si="5"/>
        <v>2.274810936591054E-2</v>
      </c>
    </row>
    <row r="8" spans="1:13" x14ac:dyDescent="0.25">
      <c r="A8" s="16">
        <v>44378</v>
      </c>
      <c r="B8" s="14" vm="38">
        <f ca="1"/>
        <v>270.94</v>
      </c>
      <c r="C8" s="15">
        <f t="shared" ca="1" si="0"/>
        <v>2.2735661031962895E-2</v>
      </c>
      <c r="D8" s="14" vm="39">
        <f ca="1"/>
        <v>172.2</v>
      </c>
      <c r="E8" s="15">
        <f t="shared" ca="1" si="1"/>
        <v>5.4006968641115982E-3</v>
      </c>
      <c r="F8" s="14" vm="40">
        <f ca="1"/>
        <v>120.98</v>
      </c>
      <c r="G8" s="15">
        <f t="shared" ca="1" si="2"/>
        <v>4.4552818647710435E-2</v>
      </c>
      <c r="H8" s="14" vm="41">
        <f ca="1"/>
        <v>45.6</v>
      </c>
      <c r="I8" s="15">
        <f t="shared" ca="1" si="3"/>
        <v>-9.8684210526316374E-3</v>
      </c>
      <c r="J8" s="14" vm="42">
        <f ca="1"/>
        <v>112.27</v>
      </c>
      <c r="K8" s="15">
        <f t="shared" ca="1" si="4"/>
        <v>4.373385588313905E-2</v>
      </c>
      <c r="L8" s="14" vm="43">
        <v>4395.26</v>
      </c>
      <c r="M8" s="15">
        <f t="shared" si="5"/>
        <v>2.8990321391681118E-2</v>
      </c>
    </row>
    <row r="9" spans="1:13" x14ac:dyDescent="0.25">
      <c r="A9" s="16">
        <v>44409</v>
      </c>
      <c r="B9" s="14" vm="44">
        <f ca="1"/>
        <v>277.10000000000002</v>
      </c>
      <c r="C9" s="15">
        <f t="shared" ca="1" si="0"/>
        <v>-4.8285817394442376E-2</v>
      </c>
      <c r="D9" s="14" vm="45">
        <f ca="1"/>
        <v>173.13</v>
      </c>
      <c r="E9" s="15">
        <f t="shared" ca="1" si="1"/>
        <v>-6.7174955235949851E-2</v>
      </c>
      <c r="F9" s="14" vm="46">
        <f ca="1"/>
        <v>126.37</v>
      </c>
      <c r="G9" s="15">
        <f t="shared" ca="1" si="2"/>
        <v>-6.520534937089506E-2</v>
      </c>
      <c r="H9" s="14" vm="47">
        <f ca="1"/>
        <v>45.15</v>
      </c>
      <c r="I9" s="15">
        <f t="shared" ca="1" si="3"/>
        <v>-3.8981173864894747E-2</v>
      </c>
      <c r="J9" s="14" vm="48">
        <f ca="1"/>
        <v>117.18</v>
      </c>
      <c r="K9" s="15">
        <f t="shared" ca="1" si="4"/>
        <v>-3.3879501621437269E-2</v>
      </c>
      <c r="L9" s="14" vm="49">
        <v>4522.68</v>
      </c>
      <c r="M9" s="15">
        <f t="shared" si="5"/>
        <v>-4.7569140421166334E-2</v>
      </c>
    </row>
    <row r="10" spans="1:13" x14ac:dyDescent="0.25">
      <c r="A10" s="16">
        <v>44440</v>
      </c>
      <c r="B10" s="14" vm="50">
        <f ca="1"/>
        <v>263.72000000000003</v>
      </c>
      <c r="C10" s="15">
        <f t="shared" ca="1" si="0"/>
        <v>8.9109661762474257E-3</v>
      </c>
      <c r="D10" s="14" vm="51">
        <f ca="1"/>
        <v>161.5</v>
      </c>
      <c r="E10" s="15">
        <f t="shared" ca="1" si="1"/>
        <v>8.544891640866803E-3</v>
      </c>
      <c r="F10" s="14" vm="52">
        <f ca="1"/>
        <v>118.13</v>
      </c>
      <c r="G10" s="15">
        <f t="shared" ca="1" si="2"/>
        <v>9.1086091594006602E-2</v>
      </c>
      <c r="H10" s="14" vm="53">
        <f ca="1"/>
        <v>43.39</v>
      </c>
      <c r="I10" s="15">
        <f t="shared" ca="1" si="3"/>
        <v>-5.992164093108987E-3</v>
      </c>
      <c r="J10" s="14" vm="54">
        <f ca="1"/>
        <v>113.21</v>
      </c>
      <c r="K10" s="15">
        <f t="shared" ca="1" si="4"/>
        <v>5.8387068280187249E-2</v>
      </c>
      <c r="L10" s="14" vm="55">
        <v>4307.54</v>
      </c>
      <c r="M10" s="15">
        <f t="shared" si="5"/>
        <v>6.9143873301234615E-2</v>
      </c>
    </row>
    <row r="11" spans="1:13" x14ac:dyDescent="0.25">
      <c r="A11" s="16">
        <v>44470</v>
      </c>
      <c r="B11" s="14" vm="56">
        <f ca="1"/>
        <v>266.07</v>
      </c>
      <c r="C11" s="15">
        <f t="shared" ca="1" si="0"/>
        <v>-0.11064757394670577</v>
      </c>
      <c r="D11" s="14" vm="57">
        <f ca="1"/>
        <v>162.88</v>
      </c>
      <c r="E11" s="15">
        <f t="shared" ca="1" si="1"/>
        <v>-4.2669449901768131E-2</v>
      </c>
      <c r="F11" s="14" vm="58">
        <f ca="1"/>
        <v>128.88999999999999</v>
      </c>
      <c r="G11" s="15">
        <f t="shared" ca="1" si="2"/>
        <v>-2.4206687873380317E-2</v>
      </c>
      <c r="H11" s="14" vm="59">
        <f ca="1"/>
        <v>43.13</v>
      </c>
      <c r="I11" s="15">
        <f t="shared" ca="1" si="3"/>
        <v>-0.11731973104567595</v>
      </c>
      <c r="J11" s="14" vm="60">
        <f ca="1"/>
        <v>119.82</v>
      </c>
      <c r="K11" s="15">
        <f t="shared" ca="1" si="4"/>
        <v>-0.10440660991487227</v>
      </c>
      <c r="L11" s="14" vm="61">
        <v>4605.38</v>
      </c>
      <c r="M11" s="15">
        <f t="shared" si="5"/>
        <v>-8.3337314184714906E-3</v>
      </c>
    </row>
    <row r="12" spans="1:13" x14ac:dyDescent="0.25">
      <c r="A12" s="16">
        <v>44501</v>
      </c>
      <c r="B12" s="14" vm="62">
        <f ca="1"/>
        <v>236.63</v>
      </c>
      <c r="C12" s="15">
        <f t="shared" ca="1" si="0"/>
        <v>0.13011875079237645</v>
      </c>
      <c r="D12" s="14" vm="63">
        <f ca="1"/>
        <v>155.93</v>
      </c>
      <c r="E12" s="15">
        <f t="shared" ca="1" si="1"/>
        <v>9.7094850253318654E-2</v>
      </c>
      <c r="F12" s="14" vm="64">
        <f ca="1"/>
        <v>125.77</v>
      </c>
      <c r="G12" s="15">
        <f t="shared" ca="1" si="2"/>
        <v>0.11902679494315027</v>
      </c>
      <c r="H12" s="14" vm="65">
        <f ca="1"/>
        <v>38.07</v>
      </c>
      <c r="I12" s="15">
        <f t="shared" ca="1" si="3"/>
        <v>0.1158392434988178</v>
      </c>
      <c r="J12" s="14" vm="66">
        <f ca="1"/>
        <v>107.31</v>
      </c>
      <c r="K12" s="15">
        <f t="shared" ca="1" si="4"/>
        <v>0.20725002329699005</v>
      </c>
      <c r="L12" s="14" vm="67">
        <v>4567</v>
      </c>
      <c r="M12" s="15">
        <f t="shared" si="5"/>
        <v>4.3612874972629889E-2</v>
      </c>
    </row>
    <row r="13" spans="1:13" x14ac:dyDescent="0.25">
      <c r="A13" s="16">
        <v>44531</v>
      </c>
      <c r="B13" s="14" vm="68">
        <f ca="1"/>
        <v>267.42</v>
      </c>
      <c r="C13" s="15">
        <f t="shared" ca="1" si="0"/>
        <v>-7.2432877122129979E-2</v>
      </c>
      <c r="D13" s="14" vm="69">
        <f ca="1"/>
        <v>171.07</v>
      </c>
      <c r="E13" s="15">
        <f t="shared" ca="1" si="1"/>
        <v>7.1315835622844936E-3</v>
      </c>
      <c r="F13" s="14" vm="70">
        <f ca="1"/>
        <v>140.74</v>
      </c>
      <c r="G13" s="15">
        <f t="shared" ca="1" si="2"/>
        <v>-9.4358391359954608E-2</v>
      </c>
      <c r="H13" s="14" vm="71">
        <f ca="1"/>
        <v>42.48</v>
      </c>
      <c r="I13" s="15">
        <f t="shared" ca="1" si="3"/>
        <v>9.8870056497175618E-3</v>
      </c>
      <c r="J13" s="14" vm="72">
        <f ca="1"/>
        <v>129.55000000000001</v>
      </c>
      <c r="K13" s="15">
        <f t="shared" ca="1" si="4"/>
        <v>-0.15708220764183722</v>
      </c>
      <c r="L13" s="14" vm="73">
        <v>4766.18</v>
      </c>
      <c r="M13" s="15">
        <f t="shared" si="5"/>
        <v>-5.2585089106999772E-2</v>
      </c>
    </row>
    <row r="14" spans="1:13" x14ac:dyDescent="0.25">
      <c r="A14" s="16">
        <v>44562</v>
      </c>
      <c r="B14" s="14" vm="74">
        <f ca="1"/>
        <v>248.05</v>
      </c>
      <c r="C14" s="15">
        <f t="shared" ca="1" si="0"/>
        <v>6.1681112678895422E-2</v>
      </c>
      <c r="D14" s="14" vm="75">
        <f ca="1"/>
        <v>172.29</v>
      </c>
      <c r="E14" s="15">
        <f t="shared" ca="1" si="1"/>
        <v>-4.4808172267688184E-2</v>
      </c>
      <c r="F14" s="14" vm="76">
        <f ca="1"/>
        <v>127.46</v>
      </c>
      <c r="G14" s="15">
        <f t="shared" ca="1" si="2"/>
        <v>-5.3663894555154523E-2</v>
      </c>
      <c r="H14" s="14" vm="77">
        <f ca="1"/>
        <v>42.9</v>
      </c>
      <c r="I14" s="15">
        <f t="shared" ca="1" si="3"/>
        <v>2.96037296037297E-2</v>
      </c>
      <c r="J14" s="14" vm="78">
        <f ca="1"/>
        <v>109.2</v>
      </c>
      <c r="K14" s="15">
        <f t="shared" ca="1" si="4"/>
        <v>2.9029304029304148E-2</v>
      </c>
      <c r="L14" s="14" vm="79">
        <v>4515.55</v>
      </c>
      <c r="M14" s="15">
        <f t="shared" si="5"/>
        <v>-3.1360520866782648E-2</v>
      </c>
    </row>
    <row r="15" spans="1:13" x14ac:dyDescent="0.25">
      <c r="A15" s="16">
        <v>44593</v>
      </c>
      <c r="B15" s="14" vm="80">
        <f ca="1"/>
        <v>263.35000000000002</v>
      </c>
      <c r="C15" s="15">
        <f t="shared" ca="1" si="0"/>
        <v>1.5188912094171281E-2</v>
      </c>
      <c r="D15" s="14" vm="81">
        <f ca="1"/>
        <v>164.57</v>
      </c>
      <c r="E15" s="15">
        <f t="shared" ca="1" si="1"/>
        <v>7.6927751108950559E-2</v>
      </c>
      <c r="F15" s="14" vm="82">
        <f ca="1"/>
        <v>120.62</v>
      </c>
      <c r="G15" s="15">
        <f t="shared" ca="1" si="2"/>
        <v>-1.8736527938981951E-2</v>
      </c>
      <c r="H15" s="14" vm="83">
        <f ca="1"/>
        <v>44.17</v>
      </c>
      <c r="I15" s="15">
        <f t="shared" ca="1" si="3"/>
        <v>2.7167760923703099E-3</v>
      </c>
      <c r="J15" s="14" vm="84">
        <f ca="1"/>
        <v>112.37</v>
      </c>
      <c r="K15" s="15">
        <f t="shared" ca="1" si="4"/>
        <v>4.7610572216783886E-2</v>
      </c>
      <c r="L15" s="14" vm="85">
        <v>4373.9399999999996</v>
      </c>
      <c r="M15" s="15">
        <f t="shared" si="5"/>
        <v>3.5773238773280092E-2</v>
      </c>
    </row>
    <row r="16" spans="1:13" x14ac:dyDescent="0.25">
      <c r="A16" s="16">
        <v>44621</v>
      </c>
      <c r="B16" s="14" vm="86">
        <f ca="1"/>
        <v>267.35000000000002</v>
      </c>
      <c r="C16" s="15">
        <f t="shared" ca="1" si="0"/>
        <v>-9.75874322049749E-2</v>
      </c>
      <c r="D16" s="14" vm="87">
        <f ca="1"/>
        <v>177.23</v>
      </c>
      <c r="E16" s="15">
        <f t="shared" ca="1" si="1"/>
        <v>1.8224905490041188E-2</v>
      </c>
      <c r="F16" s="14" vm="88">
        <f ca="1"/>
        <v>118.36</v>
      </c>
      <c r="G16" s="15">
        <f t="shared" ca="1" si="2"/>
        <v>-4.1061169313957424E-2</v>
      </c>
      <c r="H16" s="14" vm="89">
        <f ca="1"/>
        <v>44.29</v>
      </c>
      <c r="I16" s="15">
        <f t="shared" ca="1" si="3"/>
        <v>-4.9221043124858865E-2</v>
      </c>
      <c r="J16" s="14" vm="90">
        <f ca="1"/>
        <v>117.72</v>
      </c>
      <c r="K16" s="15">
        <f t="shared" ca="1" si="4"/>
        <v>-0.10142711518858305</v>
      </c>
      <c r="L16" s="14" vm="91">
        <v>4530.41</v>
      </c>
      <c r="M16" s="15">
        <f t="shared" si="5"/>
        <v>-8.7956719149039353E-2</v>
      </c>
    </row>
    <row r="17" spans="1:13" x14ac:dyDescent="0.25">
      <c r="A17" s="16">
        <v>44652</v>
      </c>
      <c r="B17" s="14" vm="92">
        <f ca="1"/>
        <v>241.26</v>
      </c>
      <c r="C17" s="15">
        <f t="shared" ca="1" si="0"/>
        <v>-2.8019563955898219E-2</v>
      </c>
      <c r="D17" s="14" vm="93">
        <f ca="1"/>
        <v>180.46</v>
      </c>
      <c r="E17" s="15">
        <f t="shared" ca="1" si="1"/>
        <v>-5.1534966197496201E-3</v>
      </c>
      <c r="F17" s="14" vm="94">
        <f ca="1"/>
        <v>113.5</v>
      </c>
      <c r="G17" s="15">
        <f t="shared" ca="1" si="2"/>
        <v>3.4889867841409572E-2</v>
      </c>
      <c r="H17" s="14" vm="95">
        <f ca="1"/>
        <v>42.11</v>
      </c>
      <c r="I17" s="15">
        <f t="shared" ca="1" si="3"/>
        <v>-2.6122061268107344E-2</v>
      </c>
      <c r="J17" s="14" vm="96">
        <f ca="1"/>
        <v>105.78</v>
      </c>
      <c r="K17" s="15">
        <f t="shared" ca="1" si="4"/>
        <v>-4.6606163736056083E-2</v>
      </c>
      <c r="L17" s="14" vm="97">
        <v>4131.93</v>
      </c>
      <c r="M17" s="15">
        <f t="shared" si="5"/>
        <v>5.3243883608722342E-5</v>
      </c>
    </row>
    <row r="18" spans="1:13" x14ac:dyDescent="0.25">
      <c r="A18" s="16">
        <v>44682</v>
      </c>
      <c r="B18" s="14" vm="98">
        <f ca="1"/>
        <v>234.5</v>
      </c>
      <c r="C18" s="15">
        <f t="shared" ca="1" si="0"/>
        <v>-0.15168443496801698</v>
      </c>
      <c r="D18" s="14" vm="99">
        <f ca="1"/>
        <v>179.53</v>
      </c>
      <c r="E18" s="15">
        <f t="shared" ca="1" si="1"/>
        <v>-1.1251601403665212E-2</v>
      </c>
      <c r="F18" s="14" vm="100">
        <f ca="1"/>
        <v>117.46</v>
      </c>
      <c r="G18" s="15">
        <f t="shared" ca="1" si="2"/>
        <v>-7.500425676826139E-2</v>
      </c>
      <c r="H18" s="14" vm="101">
        <f ca="1"/>
        <v>41.01</v>
      </c>
      <c r="I18" s="15">
        <f t="shared" ca="1" si="3"/>
        <v>-9.1197268958790434E-2</v>
      </c>
      <c r="J18" s="14" vm="102">
        <f ca="1"/>
        <v>100.85</v>
      </c>
      <c r="K18" s="15">
        <f t="shared" ca="1" si="4"/>
        <v>-5.7114526524541298E-2</v>
      </c>
      <c r="L18" s="14" vm="103">
        <v>4132.1499999999996</v>
      </c>
      <c r="M18" s="15">
        <f t="shared" si="5"/>
        <v>-8.3919993223866451E-2</v>
      </c>
    </row>
    <row r="19" spans="1:13" x14ac:dyDescent="0.25">
      <c r="A19" s="16">
        <v>44713</v>
      </c>
      <c r="B19" s="14" vm="104">
        <f ca="1"/>
        <v>198.93</v>
      </c>
      <c r="C19" s="15">
        <f t="shared" ca="1" si="0"/>
        <v>7.9525461217513582E-2</v>
      </c>
      <c r="D19" s="14" vm="105">
        <f ca="1"/>
        <v>177.51</v>
      </c>
      <c r="E19" s="15">
        <f t="shared" ca="1" si="1"/>
        <v>-1.6844121457945893E-2</v>
      </c>
      <c r="F19" s="14" vm="106">
        <f ca="1"/>
        <v>108.65</v>
      </c>
      <c r="G19" s="15">
        <f t="shared" ca="1" si="2"/>
        <v>1.7487344684767869E-3</v>
      </c>
      <c r="H19" s="14" vm="107">
        <f ca="1"/>
        <v>37.270000000000003</v>
      </c>
      <c r="I19" s="15">
        <f t="shared" ca="1" si="3"/>
        <v>0.10142205527233683</v>
      </c>
      <c r="J19" s="14" vm="108">
        <f ca="1"/>
        <v>95.09</v>
      </c>
      <c r="K19" s="15">
        <f t="shared" ca="1" si="4"/>
        <v>5.7314123461983391E-2</v>
      </c>
      <c r="L19" s="14" vm="109">
        <v>3785.38</v>
      </c>
      <c r="M19" s="15">
        <f t="shared" si="5"/>
        <v>9.1116347632205885E-2</v>
      </c>
    </row>
    <row r="20" spans="1:13" x14ac:dyDescent="0.25">
      <c r="A20" s="16">
        <v>44743</v>
      </c>
      <c r="B20" s="14" vm="110">
        <f ca="1"/>
        <v>214.75</v>
      </c>
      <c r="C20" s="15">
        <f t="shared" ca="1" si="0"/>
        <v>-4.4470314318975634E-2</v>
      </c>
      <c r="D20" s="14" vm="111">
        <f ca="1"/>
        <v>174.52</v>
      </c>
      <c r="E20" s="15">
        <f t="shared" ca="1" si="1"/>
        <v>-7.552143020857216E-2</v>
      </c>
      <c r="F20" s="14" vm="112">
        <f ca="1"/>
        <v>108.84</v>
      </c>
      <c r="G20" s="15">
        <f t="shared" ca="1" si="2"/>
        <v>-5.6872473355384034E-2</v>
      </c>
      <c r="H20" s="14" vm="113">
        <f ca="1"/>
        <v>41.05</v>
      </c>
      <c r="I20" s="15">
        <f t="shared" ca="1" si="3"/>
        <v>-1.8026796589524885E-2</v>
      </c>
      <c r="J20" s="14" vm="114">
        <f ca="1"/>
        <v>100.54</v>
      </c>
      <c r="K20" s="15">
        <f t="shared" ca="1" si="4"/>
        <v>-0.10383926795305365</v>
      </c>
      <c r="L20" s="14" vm="115">
        <v>4130.29</v>
      </c>
      <c r="M20" s="15">
        <f t="shared" si="5"/>
        <v>-4.2440119216810457E-2</v>
      </c>
    </row>
    <row r="21" spans="1:13" x14ac:dyDescent="0.25">
      <c r="A21" s="16">
        <v>44774</v>
      </c>
      <c r="B21" s="14" vm="116">
        <f ca="1"/>
        <v>205.2</v>
      </c>
      <c r="C21" s="15">
        <f t="shared" ca="1" si="0"/>
        <v>-1.2962962962962954E-2</v>
      </c>
      <c r="D21" s="14" vm="117">
        <f ca="1"/>
        <v>161.34</v>
      </c>
      <c r="E21" s="15">
        <f t="shared" ca="1" si="1"/>
        <v>1.2520143795710981E-2</v>
      </c>
      <c r="F21" s="14" vm="118">
        <f ca="1"/>
        <v>102.65</v>
      </c>
      <c r="G21" s="15">
        <f t="shared" ca="1" si="2"/>
        <v>-5.7379444715051187E-2</v>
      </c>
      <c r="H21" s="14" vm="119">
        <f ca="1"/>
        <v>40.31</v>
      </c>
      <c r="I21" s="15">
        <f t="shared" ca="1" si="3"/>
        <v>-3.9196229223517842E-2</v>
      </c>
      <c r="J21" s="14" vm="120">
        <f ca="1"/>
        <v>90.1</v>
      </c>
      <c r="K21" s="15">
        <f t="shared" ca="1" si="4"/>
        <v>-8.2907880133185397E-2</v>
      </c>
      <c r="L21" s="14" vm="121">
        <v>3955</v>
      </c>
      <c r="M21" s="15">
        <f t="shared" si="5"/>
        <v>-9.3395701643489315E-2</v>
      </c>
    </row>
    <row r="22" spans="1:13" x14ac:dyDescent="0.25">
      <c r="A22" s="16">
        <v>44805</v>
      </c>
      <c r="B22" s="14" vm="122">
        <f ca="1"/>
        <v>202.54</v>
      </c>
      <c r="C22" s="15">
        <f t="shared" ca="1" si="0"/>
        <v>0.13182581218524736</v>
      </c>
      <c r="D22" s="14" vm="123">
        <f ca="1"/>
        <v>163.36000000000001</v>
      </c>
      <c r="E22" s="15">
        <f t="shared" ca="1" si="1"/>
        <v>6.4948579823702168E-2</v>
      </c>
      <c r="F22" s="14" vm="124">
        <f ca="1"/>
        <v>96.76</v>
      </c>
      <c r="G22" s="15">
        <f t="shared" ca="1" si="2"/>
        <v>2.2529971062422494E-2</v>
      </c>
      <c r="H22" s="14" vm="125">
        <f ca="1"/>
        <v>38.729999999999997</v>
      </c>
      <c r="I22" s="15">
        <f t="shared" ca="1" si="3"/>
        <v>0.11309062742060427</v>
      </c>
      <c r="J22" s="14" vm="126">
        <f ca="1"/>
        <v>82.63</v>
      </c>
      <c r="K22" s="15">
        <f t="shared" ca="1" si="4"/>
        <v>-0.12344184920730961</v>
      </c>
      <c r="L22" s="14" vm="127">
        <v>3585.62</v>
      </c>
      <c r="M22" s="15">
        <f t="shared" si="5"/>
        <v>7.9863454576893256E-2</v>
      </c>
    </row>
    <row r="23" spans="1:13" x14ac:dyDescent="0.25">
      <c r="A23" s="16">
        <v>44835</v>
      </c>
      <c r="B23" s="14" vm="128">
        <f ca="1"/>
        <v>229.24</v>
      </c>
      <c r="C23" s="15">
        <f t="shared" ca="1" si="0"/>
        <v>2.0284418077124222E-2</v>
      </c>
      <c r="D23" s="14" vm="129">
        <f ca="1"/>
        <v>173.97</v>
      </c>
      <c r="E23" s="15">
        <f t="shared" ca="1" si="1"/>
        <v>2.3164913490831829E-2</v>
      </c>
      <c r="F23" s="14" vm="130">
        <f ca="1"/>
        <v>98.94</v>
      </c>
      <c r="G23" s="15">
        <f t="shared" ca="1" si="2"/>
        <v>8.7325651910248547E-2</v>
      </c>
      <c r="H23" s="14" vm="131">
        <f ca="1"/>
        <v>43.11</v>
      </c>
      <c r="I23" s="15">
        <f t="shared" ca="1" si="3"/>
        <v>5.0104384133611735E-2</v>
      </c>
      <c r="J23" s="14" vm="132">
        <f ca="1"/>
        <v>72.430000000000007</v>
      </c>
      <c r="K23" s="15">
        <f t="shared" ca="1" si="4"/>
        <v>6.6547010907082704E-2</v>
      </c>
      <c r="L23" s="14" vm="133">
        <v>3871.98</v>
      </c>
      <c r="M23" s="15">
        <f t="shared" si="5"/>
        <v>5.3752860293699856E-2</v>
      </c>
    </row>
    <row r="24" spans="1:13" x14ac:dyDescent="0.25">
      <c r="A24" s="16">
        <v>44866</v>
      </c>
      <c r="B24" s="14" vm="134">
        <f ca="1"/>
        <v>233.89</v>
      </c>
      <c r="C24" s="15">
        <f t="shared" ca="1" si="0"/>
        <v>4.5320449784086669E-2</v>
      </c>
      <c r="D24" s="14" vm="135">
        <f ca="1"/>
        <v>178</v>
      </c>
      <c r="E24" s="15">
        <f t="shared" ca="1" si="1"/>
        <v>-7.5842696629213613E-3</v>
      </c>
      <c r="F24" s="14" vm="136">
        <f ca="1"/>
        <v>107.58</v>
      </c>
      <c r="G24" s="15">
        <f t="shared" ca="1" si="2"/>
        <v>2.0542851831195419E-2</v>
      </c>
      <c r="H24" s="14" vm="137">
        <f ca="1"/>
        <v>45.27</v>
      </c>
      <c r="I24" s="15">
        <f t="shared" ca="1" si="3"/>
        <v>2.2089684117517105E-2</v>
      </c>
      <c r="J24" s="14" vm="138">
        <f ca="1"/>
        <v>77.25</v>
      </c>
      <c r="K24" s="15">
        <f t="shared" ca="1" si="4"/>
        <v>-3.4174757281553392E-2</v>
      </c>
      <c r="L24" s="14" vm="139">
        <v>4080.11</v>
      </c>
      <c r="M24" s="15">
        <f t="shared" si="5"/>
        <v>-5.8971449299161094E-2</v>
      </c>
    </row>
    <row r="25" spans="1:13" x14ac:dyDescent="0.25">
      <c r="A25" s="16">
        <v>44896</v>
      </c>
      <c r="B25" s="14" vm="140">
        <f ca="1"/>
        <v>244.49</v>
      </c>
      <c r="C25" s="15">
        <f t="shared" ca="1" si="0"/>
        <v>3.8120168514049535E-2</v>
      </c>
      <c r="D25" s="14" vm="141">
        <f ca="1"/>
        <v>176.65</v>
      </c>
      <c r="E25" s="15">
        <f t="shared" ca="1" si="1"/>
        <v>-7.4893857911123796E-2</v>
      </c>
      <c r="F25" s="14" vm="142">
        <f ca="1"/>
        <v>109.79</v>
      </c>
      <c r="G25" s="15">
        <f t="shared" ca="1" si="2"/>
        <v>6.9223062209671227E-3</v>
      </c>
      <c r="H25" s="14" vm="143">
        <f ca="1"/>
        <v>46.27</v>
      </c>
      <c r="I25" s="15">
        <f t="shared" ca="1" si="3"/>
        <v>-4.3224551545284484E-4</v>
      </c>
      <c r="J25" s="14" vm="144">
        <f ca="1"/>
        <v>74.61</v>
      </c>
      <c r="K25" s="15">
        <f t="shared" ca="1" si="4"/>
        <v>2.8012330786757911E-2</v>
      </c>
      <c r="L25" s="14" vm="145">
        <v>3839.5</v>
      </c>
      <c r="M25" s="15">
        <f t="shared" si="5"/>
        <v>6.1752832400052027E-2</v>
      </c>
    </row>
    <row r="26" spans="1:13" x14ac:dyDescent="0.25">
      <c r="A26" s="16">
        <v>44927</v>
      </c>
      <c r="B26" s="14" vm="146">
        <f ca="1"/>
        <v>253.81</v>
      </c>
      <c r="C26" s="15">
        <f t="shared" ca="1" si="0"/>
        <v>3.5735392616524253E-2</v>
      </c>
      <c r="D26" s="14" vm="147">
        <f ca="1"/>
        <v>163.41999999999999</v>
      </c>
      <c r="E26" s="15">
        <f t="shared" ca="1" si="1"/>
        <v>-6.2171092889487189E-2</v>
      </c>
      <c r="F26" s="14" vm="148">
        <f ca="1"/>
        <v>110.55</v>
      </c>
      <c r="G26" s="15">
        <f t="shared" ca="1" si="2"/>
        <v>-7.987336047037541E-2</v>
      </c>
      <c r="H26" s="14" vm="149">
        <f ca="1"/>
        <v>46.25</v>
      </c>
      <c r="I26" s="15">
        <f t="shared" ca="1" si="3"/>
        <v>1.0162162162162147E-2</v>
      </c>
      <c r="J26" s="14" vm="150">
        <f ca="1"/>
        <v>76.7</v>
      </c>
      <c r="K26" s="15">
        <f t="shared" ca="1" si="4"/>
        <v>4.8761408083441982E-2</v>
      </c>
      <c r="L26" s="14" vm="151">
        <v>4076.6</v>
      </c>
      <c r="M26" s="15">
        <f t="shared" si="5"/>
        <v>-2.6112446646715304E-2</v>
      </c>
    </row>
    <row r="27" spans="1:13" x14ac:dyDescent="0.25">
      <c r="A27" s="16">
        <v>44958</v>
      </c>
      <c r="B27" s="14" vm="152">
        <f ca="1"/>
        <v>262.88</v>
      </c>
      <c r="C27" s="15">
        <f t="shared" ca="1" si="0"/>
        <v>8.5932744978697517E-2</v>
      </c>
      <c r="D27" s="14" vm="153">
        <f ca="1"/>
        <v>153.26</v>
      </c>
      <c r="E27" s="15">
        <f t="shared" ca="1" si="1"/>
        <v>1.1353255904998028E-2</v>
      </c>
      <c r="F27" s="14" vm="154">
        <f ca="1"/>
        <v>101.72</v>
      </c>
      <c r="G27" s="15">
        <f t="shared" ca="1" si="2"/>
        <v>-4.5222178529294998E-3</v>
      </c>
      <c r="H27" s="14" vm="155">
        <f ca="1"/>
        <v>46.72</v>
      </c>
      <c r="I27" s="15">
        <f t="shared" ca="1" si="3"/>
        <v>7.0847602739726012E-2</v>
      </c>
      <c r="J27" s="14" vm="156">
        <f ca="1"/>
        <v>80.44</v>
      </c>
      <c r="K27" s="15">
        <f t="shared" ca="1" si="4"/>
        <v>2.8468423669816056E-2</v>
      </c>
      <c r="L27" s="14" vm="157">
        <v>3970.15</v>
      </c>
      <c r="M27" s="15">
        <f t="shared" si="5"/>
        <v>3.5051572358727023E-2</v>
      </c>
    </row>
    <row r="28" spans="1:13" x14ac:dyDescent="0.25">
      <c r="A28" s="16">
        <v>44986</v>
      </c>
      <c r="B28" s="14" vm="158">
        <f ca="1"/>
        <v>285.47000000000003</v>
      </c>
      <c r="C28" s="15">
        <f t="shared" ca="1" si="0"/>
        <v>4.9672469961817178E-2</v>
      </c>
      <c r="D28" s="14" vm="159">
        <f ca="1"/>
        <v>155</v>
      </c>
      <c r="E28" s="15">
        <f t="shared" ca="1" si="1"/>
        <v>5.6129032258064537E-2</v>
      </c>
      <c r="F28" s="14" vm="160">
        <f ca="1"/>
        <v>101.26</v>
      </c>
      <c r="G28" s="15">
        <f t="shared" ca="1" si="2"/>
        <v>9.095397985384146E-2</v>
      </c>
      <c r="H28" s="14" vm="161">
        <f ca="1"/>
        <v>50.03</v>
      </c>
      <c r="I28" s="15">
        <f t="shared" ca="1" si="3"/>
        <v>4.1774935038976446E-2</v>
      </c>
      <c r="J28" s="14" vm="162">
        <f ca="1"/>
        <v>82.73</v>
      </c>
      <c r="K28" s="15">
        <f t="shared" ca="1" si="4"/>
        <v>6.3459446391877172E-2</v>
      </c>
      <c r="L28" s="14" vm="163">
        <v>4109.3100000000004</v>
      </c>
      <c r="M28" s="15">
        <f t="shared" si="5"/>
        <v>1.464236088297044E-2</v>
      </c>
    </row>
    <row r="29" spans="1:13" x14ac:dyDescent="0.25">
      <c r="A29" s="16">
        <v>45017</v>
      </c>
      <c r="B29" s="14" vm="164">
        <f ca="1"/>
        <v>299.64999999999998</v>
      </c>
      <c r="C29" s="15">
        <f t="shared" ca="1" si="0"/>
        <v>-8.0327048222926689E-2</v>
      </c>
      <c r="D29" s="14" vm="165">
        <f ca="1"/>
        <v>163.69999999999999</v>
      </c>
      <c r="E29" s="15">
        <f t="shared" ca="1" si="1"/>
        <v>-5.277947464874766E-2</v>
      </c>
      <c r="F29" s="14" vm="166">
        <f ca="1"/>
        <v>110.47</v>
      </c>
      <c r="G29" s="15">
        <f t="shared" ca="1" si="2"/>
        <v>-7.6672399746537501E-2</v>
      </c>
      <c r="H29" s="14" vm="167">
        <f ca="1"/>
        <v>52.12</v>
      </c>
      <c r="I29" s="15">
        <f t="shared" ca="1" si="3"/>
        <v>-1.2279355333844943E-2</v>
      </c>
      <c r="J29" s="14" vm="168">
        <f ca="1"/>
        <v>87.98</v>
      </c>
      <c r="K29" s="15">
        <f t="shared" ca="1" si="4"/>
        <v>-4.2623323482609665E-2</v>
      </c>
      <c r="L29" s="14" vm="169">
        <v>4169.4799999999996</v>
      </c>
      <c r="M29" s="15">
        <f t="shared" si="5"/>
        <v>2.4823239348792381E-3</v>
      </c>
    </row>
    <row r="30" spans="1:13" x14ac:dyDescent="0.25">
      <c r="A30" s="16">
        <v>45047</v>
      </c>
      <c r="B30" s="14" vm="170">
        <f ca="1"/>
        <v>275.58</v>
      </c>
      <c r="C30" s="15">
        <f t="shared" ca="1" si="0"/>
        <v>0.10708324261557434</v>
      </c>
      <c r="D30" s="14" vm="171">
        <f ca="1"/>
        <v>155.06</v>
      </c>
      <c r="E30" s="15">
        <f t="shared" ca="1" si="1"/>
        <v>6.7457758287114755E-2</v>
      </c>
      <c r="F30" s="14" vm="172">
        <f ca="1"/>
        <v>102</v>
      </c>
      <c r="G30" s="15">
        <f t="shared" ca="1" si="2"/>
        <v>6.8823529411764728E-2</v>
      </c>
      <c r="H30" s="14" vm="173">
        <f ca="1"/>
        <v>51.48</v>
      </c>
      <c r="I30" s="15">
        <f t="shared" ca="1" si="3"/>
        <v>5.0699300699300842E-2</v>
      </c>
      <c r="J30" s="14" vm="174">
        <f ca="1"/>
        <v>84.23</v>
      </c>
      <c r="K30" s="15">
        <f t="shared" ca="1" si="4"/>
        <v>0.11990977086548726</v>
      </c>
      <c r="L30" s="14" vm="175">
        <v>4179.83</v>
      </c>
      <c r="M30" s="15">
        <f t="shared" si="5"/>
        <v>6.4727512841431301E-2</v>
      </c>
    </row>
    <row r="31" spans="1:13" x14ac:dyDescent="0.25">
      <c r="A31" s="16">
        <v>45078</v>
      </c>
      <c r="B31" s="14" vm="176">
        <f ca="1"/>
        <v>305.08999999999997</v>
      </c>
      <c r="C31" s="15">
        <f t="shared" ca="1" si="0"/>
        <v>-7.1060998393916441E-2</v>
      </c>
      <c r="D31" s="14" vm="177">
        <f ca="1"/>
        <v>165.52</v>
      </c>
      <c r="E31" s="15">
        <f t="shared" ca="1" si="1"/>
        <v>1.2143547607539773E-2</v>
      </c>
      <c r="F31" s="14" vm="178">
        <f ca="1"/>
        <v>109.02</v>
      </c>
      <c r="G31" s="15">
        <f t="shared" ca="1" si="2"/>
        <v>2.1188772702256387E-2</v>
      </c>
      <c r="H31" s="14" vm="179">
        <f ca="1"/>
        <v>54.09</v>
      </c>
      <c r="I31" s="15">
        <f t="shared" ca="1" si="3"/>
        <v>-4.1412460713625476E-2</v>
      </c>
      <c r="J31" s="14" vm="180">
        <f ca="1"/>
        <v>94.33</v>
      </c>
      <c r="K31" s="15">
        <f t="shared" ca="1" si="4"/>
        <v>-0.12996925686420024</v>
      </c>
      <c r="L31" s="14" vm="181">
        <v>4450.38</v>
      </c>
      <c r="M31" s="15">
        <f t="shared" si="5"/>
        <v>3.1138913980379268E-2</v>
      </c>
    </row>
    <row r="32" spans="1:13" x14ac:dyDescent="0.25">
      <c r="A32" s="16">
        <v>45108</v>
      </c>
      <c r="B32" s="14" vm="182">
        <f ca="1"/>
        <v>283.41000000000003</v>
      </c>
      <c r="C32" s="15">
        <f t="shared" ca="1" si="0"/>
        <v>4.9398398080513495E-4</v>
      </c>
      <c r="D32" s="14" vm="183">
        <f ca="1"/>
        <v>167.53</v>
      </c>
      <c r="E32" s="15">
        <f t="shared" ca="1" si="1"/>
        <v>-3.4919118963767648E-2</v>
      </c>
      <c r="F32" s="14" vm="184">
        <f ca="1"/>
        <v>111.33</v>
      </c>
      <c r="G32" s="15">
        <f t="shared" ca="1" si="2"/>
        <v>-7.5720829964968983E-2</v>
      </c>
      <c r="H32" s="14" vm="185">
        <f ca="1"/>
        <v>51.85</v>
      </c>
      <c r="I32" s="15">
        <f t="shared" ca="1" si="3"/>
        <v>4.0308582449373187E-2</v>
      </c>
      <c r="J32" s="14" vm="186">
        <f ca="1"/>
        <v>82.07</v>
      </c>
      <c r="K32" s="15">
        <f t="shared" ca="1" si="4"/>
        <v>-6.8234434019739165E-2</v>
      </c>
      <c r="L32" s="14" vm="187">
        <v>4588.96</v>
      </c>
      <c r="M32" s="15">
        <f t="shared" si="5"/>
        <v>-1.771643248143373E-2</v>
      </c>
    </row>
    <row r="33" spans="1:13" x14ac:dyDescent="0.25">
      <c r="A33" s="16">
        <v>45139</v>
      </c>
      <c r="B33" s="14" vm="188">
        <f ca="1"/>
        <v>283.55</v>
      </c>
      <c r="C33" s="15">
        <f t="shared" ca="1" si="0"/>
        <v>-3.6254628813260581E-2</v>
      </c>
      <c r="D33" s="14" vm="189">
        <f ca="1"/>
        <v>161.68</v>
      </c>
      <c r="E33" s="15">
        <f t="shared" ca="1" si="1"/>
        <v>-3.667738743196447E-2</v>
      </c>
      <c r="F33" s="14" vm="190">
        <f ca="1"/>
        <v>102.9</v>
      </c>
      <c r="G33" s="15">
        <f t="shared" ca="1" si="2"/>
        <v>-5.8794946550048688E-2</v>
      </c>
      <c r="H33" s="14" vm="191">
        <f ca="1"/>
        <v>53.94</v>
      </c>
      <c r="I33" s="15">
        <f t="shared" ca="1" si="3"/>
        <v>-2.1134593993325956E-2</v>
      </c>
      <c r="J33" s="14" vm="192">
        <f ca="1"/>
        <v>76.47</v>
      </c>
      <c r="K33" s="15">
        <f t="shared" ca="1" si="4"/>
        <v>-9.4023800183078321E-2</v>
      </c>
      <c r="L33" s="14" vm="193">
        <v>4507.66</v>
      </c>
      <c r="M33" s="15">
        <f t="shared" si="5"/>
        <v>-4.871929116215501E-2</v>
      </c>
    </row>
    <row r="34" spans="1:13" x14ac:dyDescent="0.25">
      <c r="A34" s="16">
        <v>45170</v>
      </c>
      <c r="B34" s="14" vm="194">
        <f ca="1"/>
        <v>273.27</v>
      </c>
      <c r="C34" s="15">
        <f t="shared" ca="1" si="0"/>
        <v>-1.1161122699161807E-2</v>
      </c>
      <c r="D34" s="14" vm="195">
        <f ca="1"/>
        <v>155.75</v>
      </c>
      <c r="E34" s="15">
        <f t="shared" ca="1" si="1"/>
        <v>-4.7576243980738342E-2</v>
      </c>
      <c r="F34" s="14" vm="196">
        <f ca="1"/>
        <v>96.85</v>
      </c>
      <c r="G34" s="15">
        <f t="shared" ca="1" si="2"/>
        <v>-2.3748064016520409E-2</v>
      </c>
      <c r="H34" s="14" vm="197">
        <f ca="1"/>
        <v>52.8</v>
      </c>
      <c r="I34" s="15">
        <f t="shared" ca="1" si="3"/>
        <v>-3.0492424242424265E-2</v>
      </c>
      <c r="J34" s="14" vm="198">
        <f ca="1"/>
        <v>69.28</v>
      </c>
      <c r="K34" s="15">
        <f t="shared" ca="1" si="4"/>
        <v>-8.0254041570438805E-2</v>
      </c>
      <c r="L34" s="14" vm="199">
        <v>4288.05</v>
      </c>
      <c r="M34" s="15">
        <f t="shared" si="5"/>
        <v>-2.1979687736850106E-2</v>
      </c>
    </row>
    <row r="35" spans="1:13" x14ac:dyDescent="0.25">
      <c r="A35" s="16">
        <v>45200</v>
      </c>
      <c r="B35" s="14" vm="200">
        <f ca="1"/>
        <v>270.22000000000003</v>
      </c>
      <c r="C35" s="15">
        <f t="shared" ca="1" si="0"/>
        <v>9.6624972244837348E-2</v>
      </c>
      <c r="D35" s="14" vm="201">
        <f ca="1"/>
        <v>148.34</v>
      </c>
      <c r="E35" s="15">
        <f t="shared" ca="1" si="1"/>
        <v>4.2604826749359503E-2</v>
      </c>
      <c r="F35" s="14" vm="202">
        <f ca="1"/>
        <v>94.55</v>
      </c>
      <c r="G35" s="15">
        <f t="shared" ca="1" si="2"/>
        <v>0.10301427815970388</v>
      </c>
      <c r="H35" s="14" vm="203">
        <f ca="1"/>
        <v>51.19</v>
      </c>
      <c r="I35" s="15">
        <f t="shared" ca="1" si="3"/>
        <v>9.1814807579605473E-2</v>
      </c>
      <c r="J35" s="14" vm="204">
        <f ca="1"/>
        <v>63.72</v>
      </c>
      <c r="K35" s="15">
        <f t="shared" ca="1" si="4"/>
        <v>6.2617702448210855E-2</v>
      </c>
      <c r="L35" s="14" vm="205">
        <v>4193.8</v>
      </c>
      <c r="M35" s="15">
        <f t="shared" si="5"/>
        <v>8.9179264628737709E-2</v>
      </c>
    </row>
    <row r="36" spans="1:13" x14ac:dyDescent="0.25">
      <c r="A36" s="16">
        <v>45231</v>
      </c>
      <c r="B36" s="14" vm="206">
        <f ca="1"/>
        <v>296.33</v>
      </c>
      <c r="C36" s="15">
        <f t="shared" ca="1" si="0"/>
        <v>1.0562548510106851E-2</v>
      </c>
      <c r="D36" s="14" vm="207">
        <f ca="1"/>
        <v>154.66</v>
      </c>
      <c r="E36" s="15">
        <f t="shared" ca="1" si="1"/>
        <v>1.3448855554118788E-2</v>
      </c>
      <c r="F36" s="14" vm="208">
        <f ca="1"/>
        <v>104.29</v>
      </c>
      <c r="G36" s="15">
        <f t="shared" ca="1" si="2"/>
        <v>5.5422379902195562E-2</v>
      </c>
      <c r="H36" s="14" vm="209">
        <f ca="1"/>
        <v>55.89</v>
      </c>
      <c r="I36" s="15">
        <f t="shared" ca="1" si="3"/>
        <v>3.4353193773483559E-2</v>
      </c>
      <c r="J36" s="14" vm="210">
        <f ca="1"/>
        <v>67.709999999999994</v>
      </c>
      <c r="K36" s="15">
        <f t="shared" ca="1" si="4"/>
        <v>0.12612612612612617</v>
      </c>
      <c r="L36" s="14" vm="211">
        <v>4567.8</v>
      </c>
      <c r="M36" s="15">
        <f t="shared" si="5"/>
        <v>4.4229169403213753E-2</v>
      </c>
    </row>
    <row r="37" spans="1:13" x14ac:dyDescent="0.25">
      <c r="A37" s="16">
        <v>45261</v>
      </c>
      <c r="B37" s="14" vm="212">
        <f ca="1"/>
        <v>299.45999999999998</v>
      </c>
      <c r="C37" s="15">
        <f t="shared" ca="1" si="0"/>
        <v>0.12028317638415831</v>
      </c>
      <c r="D37" s="14" vm="213">
        <f ca="1"/>
        <v>156.74</v>
      </c>
      <c r="E37" s="15">
        <f t="shared" ca="1" si="1"/>
        <v>1.3780783463059887E-2</v>
      </c>
      <c r="F37" s="14" vm="214">
        <f ca="1"/>
        <v>110.07</v>
      </c>
      <c r="G37" s="15">
        <f t="shared" ca="1" si="2"/>
        <v>2.7982193149813872E-2</v>
      </c>
      <c r="H37" s="14" vm="215">
        <f ca="1"/>
        <v>57.81</v>
      </c>
      <c r="I37" s="15">
        <f t="shared" ca="1" si="3"/>
        <v>9.4274346998789005E-2</v>
      </c>
      <c r="J37" s="14" vm="216">
        <f ca="1"/>
        <v>76.25</v>
      </c>
      <c r="K37" s="15">
        <f t="shared" ca="1" si="4"/>
        <v>2.9114754098360729E-2</v>
      </c>
      <c r="L37" s="14" vm="217">
        <v>4769.83</v>
      </c>
      <c r="M37" s="15">
        <f t="shared" si="5"/>
        <v>1.5895744712075555E-2</v>
      </c>
    </row>
    <row r="38" spans="1:13" x14ac:dyDescent="0.25">
      <c r="A38" s="16">
        <v>45292</v>
      </c>
      <c r="B38" s="14" vm="218">
        <f ca="1"/>
        <v>335.48</v>
      </c>
      <c r="C38" s="15">
        <f t="shared" ca="1" si="0"/>
        <v>4.0509121259091341E-2</v>
      </c>
      <c r="D38" s="14" vm="219">
        <f ca="1"/>
        <v>158.9</v>
      </c>
      <c r="E38" s="15">
        <f t="shared" ca="1" si="1"/>
        <v>1.5607300188797968E-2</v>
      </c>
      <c r="F38" s="14" vm="220">
        <f ca="1"/>
        <v>113.15</v>
      </c>
      <c r="G38" s="15">
        <f t="shared" ca="1" si="2"/>
        <v>4.8519664162615994E-2</v>
      </c>
      <c r="H38" s="14" vm="221">
        <f ca="1"/>
        <v>63.26</v>
      </c>
      <c r="I38" s="15">
        <f t="shared" ca="1" si="3"/>
        <v>4.6632943408156713E-2</v>
      </c>
      <c r="J38" s="14" vm="222">
        <f ca="1"/>
        <v>78.47</v>
      </c>
      <c r="K38" s="15">
        <f t="shared" ca="1" si="4"/>
        <v>8.1559831782846981E-2</v>
      </c>
      <c r="L38" s="14" vm="223">
        <v>4845.6499999999996</v>
      </c>
      <c r="M38" s="15">
        <f t="shared" si="5"/>
        <v>5.1720615397315317E-2</v>
      </c>
    </row>
    <row r="39" spans="1:13" x14ac:dyDescent="0.25">
      <c r="A39" s="16">
        <v>45323</v>
      </c>
      <c r="B39" s="14" vm="224">
        <f ca="1"/>
        <v>349.07</v>
      </c>
      <c r="C39" s="15">
        <f t="shared" ca="1" si="0"/>
        <v>2.5209843297905987E-2</v>
      </c>
      <c r="D39" s="14" vm="225">
        <f ca="1"/>
        <v>161.38</v>
      </c>
      <c r="E39" s="15">
        <f t="shared" ca="1" si="1"/>
        <v>-1.976700954269428E-2</v>
      </c>
      <c r="F39" s="14" vm="226">
        <f ca="1"/>
        <v>118.64</v>
      </c>
      <c r="G39" s="15">
        <f t="shared" ca="1" si="2"/>
        <v>-4.1975724881995968E-2</v>
      </c>
      <c r="H39" s="14" vm="227">
        <f ca="1"/>
        <v>66.209999999999994</v>
      </c>
      <c r="I39" s="15">
        <f t="shared" ca="1" si="3"/>
        <v>3.4435885817852396E-2</v>
      </c>
      <c r="J39" s="14" vm="228">
        <f ca="1"/>
        <v>84.87</v>
      </c>
      <c r="K39" s="15">
        <f t="shared" ca="1" si="4"/>
        <v>0.12595734652998702</v>
      </c>
      <c r="L39" s="14" vm="229">
        <v>5096.2700000000004</v>
      </c>
      <c r="M39" s="15">
        <f t="shared" si="5"/>
        <v>3.1018764704381807E-2</v>
      </c>
    </row>
    <row r="40" spans="1:13" x14ac:dyDescent="0.25">
      <c r="A40" s="16">
        <v>45352</v>
      </c>
      <c r="B40" s="14" vm="230">
        <f ca="1"/>
        <v>357.87</v>
      </c>
      <c r="C40" s="15">
        <f t="shared" ca="1" si="0"/>
        <v>-5.9714421437952359E-2</v>
      </c>
      <c r="D40" s="14" vm="231">
        <f ca="1"/>
        <v>158.19</v>
      </c>
      <c r="E40" s="15">
        <f t="shared" ca="1" si="1"/>
        <v>-8.597256463746128E-2</v>
      </c>
      <c r="F40" s="14" vm="232">
        <f ca="1"/>
        <v>113.66</v>
      </c>
      <c r="G40" s="15">
        <f t="shared" ca="1" si="2"/>
        <v>-6.7657927151152597E-2</v>
      </c>
      <c r="H40" s="14" vm="233">
        <f ca="1"/>
        <v>68.489999999999995</v>
      </c>
      <c r="I40" s="15">
        <f t="shared" ca="1" si="3"/>
        <v>4.9350270112425321E-2</v>
      </c>
      <c r="J40" s="14" vm="234">
        <f ca="1"/>
        <v>95.56</v>
      </c>
      <c r="K40" s="15">
        <f t="shared" ca="1" si="4"/>
        <v>-0.11395981582251991</v>
      </c>
      <c r="L40" s="14" vm="235">
        <v>5254.35</v>
      </c>
      <c r="M40" s="15">
        <f t="shared" si="5"/>
        <v>-4.1615042774082567E-2</v>
      </c>
    </row>
    <row r="41" spans="1:13" x14ac:dyDescent="0.25">
      <c r="A41" s="16">
        <v>45383</v>
      </c>
      <c r="B41" s="14" vm="236">
        <f ca="1"/>
        <v>336.5</v>
      </c>
      <c r="C41" s="15">
        <f t="shared" ca="1" si="0"/>
        <v>1.3640416047548287E-2</v>
      </c>
      <c r="D41" s="14" vm="237">
        <f ca="1"/>
        <v>144.59</v>
      </c>
      <c r="E41" s="15">
        <f t="shared" ca="1" si="1"/>
        <v>1.4385503838439506E-2</v>
      </c>
      <c r="F41" s="14" vm="238">
        <f ca="1"/>
        <v>105.97</v>
      </c>
      <c r="G41" s="15">
        <f t="shared" ca="1" si="2"/>
        <v>-3.5670472775313766E-2</v>
      </c>
      <c r="H41" s="14" vm="239">
        <f ca="1"/>
        <v>71.87</v>
      </c>
      <c r="I41" s="15">
        <f t="shared" ca="1" si="3"/>
        <v>5.1481842215110429E-2</v>
      </c>
      <c r="J41" s="14" vm="240">
        <f ca="1"/>
        <v>84.67</v>
      </c>
      <c r="K41" s="15">
        <f t="shared" ca="1" si="4"/>
        <v>2.6219440179520381E-2</v>
      </c>
      <c r="L41" s="14" vm="241">
        <v>5035.6899999999996</v>
      </c>
      <c r="M41" s="15">
        <f t="shared" si="5"/>
        <v>4.8021224499522619E-2</v>
      </c>
    </row>
    <row r="42" spans="1:13" x14ac:dyDescent="0.25">
      <c r="A42" s="16">
        <v>45413</v>
      </c>
      <c r="B42" s="14" vm="242">
        <f ca="1"/>
        <v>341.09</v>
      </c>
      <c r="C42" s="15">
        <f t="shared" ca="1" si="0"/>
        <v>-2.4626931308451283E-3</v>
      </c>
      <c r="D42" s="14" vm="243">
        <f ca="1"/>
        <v>146.66999999999999</v>
      </c>
      <c r="E42" s="15">
        <f t="shared" ca="1" si="1"/>
        <v>-3.4771937001430997E-3</v>
      </c>
      <c r="F42" s="14" vm="244">
        <f ca="1"/>
        <v>102.19</v>
      </c>
      <c r="G42" s="15">
        <f t="shared" ca="1" si="2"/>
        <v>1.6831392504158993E-2</v>
      </c>
      <c r="H42" s="14" vm="245">
        <f ca="1"/>
        <v>75.569999999999993</v>
      </c>
      <c r="I42" s="15">
        <f t="shared" ca="1" si="3"/>
        <v>1.9055180627233215E-2</v>
      </c>
      <c r="J42" s="14" vm="246">
        <f ca="1"/>
        <v>86.89</v>
      </c>
      <c r="K42" s="15">
        <f t="shared" ca="1" si="4"/>
        <v>6.306824720911508E-2</v>
      </c>
      <c r="L42" vm="247">
        <v>5277.51</v>
      </c>
      <c r="M42" s="15">
        <f t="shared" si="5"/>
        <v>3.4669759034089864E-2</v>
      </c>
    </row>
    <row r="43" spans="1:13" x14ac:dyDescent="0.25">
      <c r="A43" s="16">
        <v>45444</v>
      </c>
      <c r="B43" s="14" vm="248">
        <f ca="1"/>
        <v>340.25</v>
      </c>
      <c r="C43" s="15">
        <f t="shared" ca="1" si="0"/>
        <v>-3.761939750183696E-2</v>
      </c>
      <c r="D43" s="14" vm="249">
        <f ca="1"/>
        <v>146.16</v>
      </c>
      <c r="E43" s="15">
        <f t="shared" ca="1" si="1"/>
        <v>7.9980842911877348E-2</v>
      </c>
      <c r="F43" s="14" vm="250">
        <f ca="1"/>
        <v>103.91</v>
      </c>
      <c r="G43" s="15">
        <f t="shared" ca="1" si="2"/>
        <v>1.9536137041670676E-2</v>
      </c>
      <c r="H43" s="14" vm="251">
        <f ca="1"/>
        <v>77.010000000000005</v>
      </c>
      <c r="I43" s="15">
        <f t="shared" ca="1" si="3"/>
        <v>-4.0644072198415926E-2</v>
      </c>
      <c r="J43" s="14" vm="252">
        <f ca="1"/>
        <v>92.37</v>
      </c>
      <c r="K43" s="15">
        <f t="shared" ca="1" si="4"/>
        <v>-0.31741907545739967</v>
      </c>
      <c r="L43" vm="253">
        <v>5460.48</v>
      </c>
      <c r="M43" s="15">
        <f t="shared" si="5"/>
        <v>1.1321349038912354E-2</v>
      </c>
    </row>
    <row r="44" spans="1:13" x14ac:dyDescent="0.25">
      <c r="A44" s="16">
        <v>45474</v>
      </c>
      <c r="B44" s="14" vm="254">
        <f ca="1"/>
        <v>327.45</v>
      </c>
      <c r="C44" s="15">
        <f t="shared" ca="1" si="0"/>
        <v>0.10068712780577194</v>
      </c>
      <c r="D44" s="14" vm="255">
        <f ca="1"/>
        <v>157.85</v>
      </c>
      <c r="E44" s="15">
        <f t="shared" ca="1" si="1"/>
        <v>5.0744377573646027E-2</v>
      </c>
      <c r="F44" s="14" vm="256">
        <f ca="1"/>
        <v>105.94</v>
      </c>
      <c r="G44" s="15">
        <f t="shared" ca="1" si="2"/>
        <v>6.9190107608080087E-2</v>
      </c>
      <c r="H44" s="14" vm="257">
        <f ca="1"/>
        <v>73.88</v>
      </c>
      <c r="I44" s="15">
        <f t="shared" ca="1" si="3"/>
        <v>0.10706551164049816</v>
      </c>
      <c r="J44" s="14" vm="258">
        <f ca="1"/>
        <v>63.05</v>
      </c>
      <c r="K44" s="15">
        <f t="shared" ca="1" si="4"/>
        <v>0.10959555908009522</v>
      </c>
      <c r="L44" vm="259">
        <v>5522.3</v>
      </c>
      <c r="M44" s="15">
        <f t="shared" si="5"/>
        <v>2.2834688445031892E-2</v>
      </c>
    </row>
    <row r="45" spans="1:13" x14ac:dyDescent="0.25">
      <c r="A45" s="16">
        <v>45505</v>
      </c>
      <c r="B45" s="14" vm="260">
        <f ca="1"/>
        <v>360.42</v>
      </c>
      <c r="C45" s="15">
        <f t="shared" ca="1" si="0"/>
        <v>2.330614283336141E-3</v>
      </c>
      <c r="D45" s="14" vm="261">
        <f ca="1"/>
        <v>165.86</v>
      </c>
      <c r="E45" s="15">
        <f t="shared" ca="1" si="1"/>
        <v>-2.2910888701314414E-2</v>
      </c>
      <c r="F45" s="14" vm="262">
        <f ca="1"/>
        <v>113.27</v>
      </c>
      <c r="G45" s="15">
        <f t="shared" ca="1" si="2"/>
        <v>6.5330625938024856E-3</v>
      </c>
      <c r="H45" s="14" vm="263">
        <f ca="1"/>
        <v>81.790000000000006</v>
      </c>
      <c r="I45" s="15">
        <f t="shared" ca="1" si="3"/>
        <v>2.4575131434160458E-2</v>
      </c>
      <c r="J45" s="14" vm="264">
        <f ca="1"/>
        <v>69.959999999999994</v>
      </c>
      <c r="K45" s="15">
        <f t="shared" ca="1" si="4"/>
        <v>-5.6746712407089728E-2</v>
      </c>
      <c r="L45" vm="265">
        <v>5648.4</v>
      </c>
      <c r="M45" s="15">
        <f t="shared" si="5"/>
        <v>2.0196869910062976E-2</v>
      </c>
    </row>
    <row r="46" spans="1:13" x14ac:dyDescent="0.25">
      <c r="A46" s="16">
        <v>45536</v>
      </c>
      <c r="B46" s="14" vm="266">
        <f ca="1"/>
        <v>361.26</v>
      </c>
      <c r="C46" s="15">
        <f t="shared" ca="1" si="0"/>
        <v>-1.3785085533964514E-2</v>
      </c>
      <c r="D46" s="14" vm="267">
        <f ca="1"/>
        <v>162.06</v>
      </c>
      <c r="E46" s="15">
        <f t="shared" ca="1" si="1"/>
        <v>-1.3575219054671073E-2</v>
      </c>
      <c r="F46" s="14" vm="268">
        <f ca="1"/>
        <v>114.01</v>
      </c>
      <c r="G46" s="15">
        <f t="shared" ca="1" si="2"/>
        <v>-5.6135426716954484E-3</v>
      </c>
      <c r="H46" s="14" vm="269">
        <f ca="1"/>
        <v>83.8</v>
      </c>
      <c r="I46" s="15">
        <f t="shared" ca="1" si="3"/>
        <v>2.625298329355541E-3</v>
      </c>
      <c r="J46" s="14" vm="270">
        <f ca="1"/>
        <v>65.989999999999995</v>
      </c>
      <c r="K46" s="15">
        <f t="shared" ca="1" si="4"/>
        <v>1.5456887407182984E-2</v>
      </c>
      <c r="L46" vm="271">
        <v>5762.48</v>
      </c>
      <c r="M46" s="15">
        <f t="shared" si="5"/>
        <v>-9.8967805528175079E-3</v>
      </c>
    </row>
    <row r="47" spans="1:13" x14ac:dyDescent="0.25">
      <c r="A47" s="16">
        <v>45566</v>
      </c>
      <c r="B47" s="14" vm="272">
        <f ca="1"/>
        <v>356.28</v>
      </c>
      <c r="C47" s="15">
        <f t="shared" ca="1" si="0"/>
        <v>0.10067924104636794</v>
      </c>
      <c r="D47" s="14" vm="273">
        <f ca="1"/>
        <v>159.86000000000001</v>
      </c>
      <c r="E47" s="15">
        <f t="shared" ca="1" si="1"/>
        <v>-3.0339046665832758E-2</v>
      </c>
      <c r="F47" s="14" vm="274">
        <f ca="1"/>
        <v>113.37</v>
      </c>
      <c r="G47" s="15">
        <f t="shared" ca="1" si="2"/>
        <v>4.7631648584281372E-2</v>
      </c>
      <c r="H47" s="14" vm="275">
        <f ca="1"/>
        <v>84.02</v>
      </c>
      <c r="I47" s="15">
        <f t="shared" ca="1" si="3"/>
        <v>7.9028802666031961E-2</v>
      </c>
      <c r="J47" s="14" vm="276">
        <f ca="1"/>
        <v>67.010000000000005</v>
      </c>
      <c r="K47" s="15">
        <f t="shared" ca="1" si="4"/>
        <v>6.4766452768243443E-2</v>
      </c>
      <c r="L47" vm="277">
        <v>5705.45</v>
      </c>
      <c r="M47" s="15">
        <f t="shared" si="5"/>
        <v>5.7301352215863854E-2</v>
      </c>
    </row>
    <row r="48" spans="1:13" x14ac:dyDescent="0.25">
      <c r="A48" s="16">
        <v>45597</v>
      </c>
      <c r="B48" s="14" vm="278">
        <f ca="1"/>
        <v>392.15</v>
      </c>
      <c r="C48" s="15">
        <f t="shared" ca="1" si="0"/>
        <v>-8.1856432487568465E-2</v>
      </c>
      <c r="D48" s="14" vm="279">
        <f ca="1"/>
        <v>155.01</v>
      </c>
      <c r="E48" s="15">
        <f t="shared" ca="1" si="1"/>
        <v>-6.7027933681697904E-2</v>
      </c>
      <c r="F48" s="14" vm="280">
        <f ca="1"/>
        <v>118.77</v>
      </c>
      <c r="G48" s="15">
        <f t="shared" ca="1" si="2"/>
        <v>-4.7655131767281311E-2</v>
      </c>
      <c r="H48" s="14" vm="281">
        <f ca="1"/>
        <v>90.66</v>
      </c>
      <c r="I48" s="15">
        <f t="shared" ca="1" si="3"/>
        <v>-1.478049856607111E-2</v>
      </c>
      <c r="J48" s="14" vm="282">
        <f ca="1"/>
        <v>71.349999999999994</v>
      </c>
      <c r="K48" s="15">
        <f t="shared" ca="1" si="4"/>
        <v>3.756131744919422E-2</v>
      </c>
      <c r="L48" vm="283">
        <v>6032.38</v>
      </c>
      <c r="M48" s="15">
        <f t="shared" si="5"/>
        <v>-2.4990136563014964E-2</v>
      </c>
    </row>
    <row r="49" spans="1:13" x14ac:dyDescent="0.25">
      <c r="A49" s="16">
        <v>45627</v>
      </c>
      <c r="B49" s="14" vm="284">
        <f ca="1"/>
        <v>360.05</v>
      </c>
      <c r="C49" s="15">
        <f t="shared" ca="1" si="0"/>
        <v>8.6765726982363622E-2</v>
      </c>
      <c r="D49" s="14" vm="285">
        <f ca="1"/>
        <v>144.62</v>
      </c>
      <c r="E49" s="15">
        <f t="shared" ca="1" si="1"/>
        <v>5.2067487207855034E-2</v>
      </c>
      <c r="F49" s="14" vm="286">
        <f ca="1"/>
        <v>113.11</v>
      </c>
      <c r="G49" s="15">
        <f t="shared" ca="1" si="2"/>
        <v>0.13102289806383172</v>
      </c>
      <c r="H49" s="14" vm="287">
        <f ca="1"/>
        <v>89.32</v>
      </c>
      <c r="I49" s="15">
        <f t="shared" ca="1" si="3"/>
        <v>0.14599193909538744</v>
      </c>
      <c r="J49" s="14" vm="288">
        <f ca="1"/>
        <v>74.03</v>
      </c>
      <c r="K49" s="15">
        <f t="shared" ca="1" si="4"/>
        <v>-2.1342698905848945E-2</v>
      </c>
      <c r="L49" vm="289">
        <v>5881.63</v>
      </c>
      <c r="M49" s="15">
        <f t="shared" si="5"/>
        <v>2.7016320305765618E-2</v>
      </c>
    </row>
    <row r="50" spans="1:13" x14ac:dyDescent="0.25">
      <c r="A50" s="16">
        <v>45658</v>
      </c>
      <c r="B50" s="14" vm="290">
        <f ca="1"/>
        <v>391.29</v>
      </c>
      <c r="C50" s="15">
        <f t="shared" ca="1" si="0"/>
        <v>-1.3033811239745563E-2</v>
      </c>
      <c r="D50" s="14" vm="291">
        <f ca="1"/>
        <v>152.15</v>
      </c>
      <c r="E50" s="15">
        <f t="shared" ca="1" si="1"/>
        <v>8.4587578047979006E-2</v>
      </c>
      <c r="F50" s="14" vm="292">
        <f ca="1"/>
        <v>127.93</v>
      </c>
      <c r="G50" s="15">
        <f t="shared" ca="1" si="2"/>
        <v>7.8793089971077812E-2</v>
      </c>
      <c r="H50" s="14" vm="293">
        <f ca="1"/>
        <v>102.36</v>
      </c>
      <c r="I50" s="15">
        <f t="shared" ca="1" si="3"/>
        <v>1.397030089878859E-2</v>
      </c>
      <c r="J50" s="14" vm="294">
        <f ca="1"/>
        <v>72.45</v>
      </c>
      <c r="K50" s="15">
        <f t="shared" ca="1" si="4"/>
        <v>-1.1456176673567908E-2</v>
      </c>
      <c r="L50" vm="295">
        <v>6040.53</v>
      </c>
      <c r="M50" s="15">
        <f t="shared" si="5"/>
        <v>-1.4242127760312417E-2</v>
      </c>
    </row>
    <row r="51" spans="1:13" x14ac:dyDescent="0.25">
      <c r="A51" s="16">
        <v>45689</v>
      </c>
      <c r="B51" s="14" vm="296">
        <f ca="1"/>
        <v>386.19</v>
      </c>
      <c r="C51" s="15">
        <f t="shared" ca="1" si="0"/>
        <v>-3.6096222066858252E-2</v>
      </c>
      <c r="D51" s="14" vm="297">
        <f ca="1"/>
        <v>165.02</v>
      </c>
      <c r="E51" s="15">
        <f t="shared" ca="1" si="1"/>
        <v>4.9690946551932402E-3</v>
      </c>
      <c r="F51" s="14" vm="298">
        <f ca="1"/>
        <v>138.01</v>
      </c>
      <c r="G51" s="15">
        <f t="shared" ca="1" si="2"/>
        <v>-3.8837765379320266E-2</v>
      </c>
      <c r="H51" s="14" vm="299">
        <f ca="1"/>
        <v>103.79</v>
      </c>
      <c r="I51" s="15">
        <f t="shared" ca="1" si="3"/>
        <v>-2.8037383177570208E-2</v>
      </c>
      <c r="J51" s="14" vm="300">
        <f ca="1"/>
        <v>71.62</v>
      </c>
      <c r="K51" s="15">
        <f t="shared" ca="1" si="4"/>
        <v>1.2007819044959511E-2</v>
      </c>
      <c r="L51" vm="301">
        <v>5954.5</v>
      </c>
      <c r="M51" s="15">
        <f t="shared" si="5"/>
        <v>-5.7544714081786852E-2</v>
      </c>
    </row>
    <row r="52" spans="1:13" x14ac:dyDescent="0.25">
      <c r="A52" s="16">
        <v>45717</v>
      </c>
      <c r="B52" s="14" vm="302">
        <f ca="1"/>
        <v>372.25</v>
      </c>
      <c r="C52" s="15">
        <f t="shared" ca="1" si="0"/>
        <v>4.4862323707186569E-3</v>
      </c>
      <c r="D52" s="14" vm="303">
        <f ca="1"/>
        <v>165.84</v>
      </c>
      <c r="E52" s="15">
        <f t="shared" ca="1" si="1"/>
        <v>-5.7465026531596686E-2</v>
      </c>
      <c r="F52" s="14" vm="304">
        <f ca="1"/>
        <v>132.65</v>
      </c>
      <c r="G52" s="15">
        <f t="shared" ca="1" si="2"/>
        <v>-1.4323407463249227E-2</v>
      </c>
      <c r="H52" s="14" vm="305">
        <f ca="1"/>
        <v>100.88</v>
      </c>
      <c r="I52" s="15">
        <f t="shared" ca="1" si="3"/>
        <v>1.9726407613005703E-2</v>
      </c>
      <c r="J52" s="14" vm="306">
        <f ca="1"/>
        <v>72.48</v>
      </c>
      <c r="K52" s="15">
        <f t="shared" ca="1" si="4"/>
        <v>4.1528697571743711E-2</v>
      </c>
      <c r="L52" vm="307">
        <v>5611.85</v>
      </c>
      <c r="M52" s="15">
        <f t="shared" si="5"/>
        <v>-7.6249365182604611E-3</v>
      </c>
    </row>
    <row r="53" spans="1:13" x14ac:dyDescent="0.25">
      <c r="A53" s="16">
        <v>45748</v>
      </c>
      <c r="B53" s="14" vm="308">
        <f ca="1"/>
        <v>373.92</v>
      </c>
      <c r="C53" s="15">
        <f t="shared" ca="1" si="0"/>
        <v>2.3320496362858378E-2</v>
      </c>
      <c r="D53" s="14" vm="309">
        <f ca="1"/>
        <v>156.31</v>
      </c>
      <c r="E53" s="15">
        <f t="shared" ca="1" si="1"/>
        <v>-7.0372976776916785E-3</v>
      </c>
      <c r="F53" s="14" vm="310">
        <f ca="1"/>
        <v>130.75</v>
      </c>
      <c r="G53" s="15">
        <f t="shared" ca="1" si="2"/>
        <v>2.1644359464627172E-2</v>
      </c>
      <c r="H53" s="14" vm="311">
        <f ca="1"/>
        <v>102.87</v>
      </c>
      <c r="I53" s="15">
        <f t="shared" ca="1" si="3"/>
        <v>2.3233206960241004E-2</v>
      </c>
      <c r="J53" s="14" vm="312">
        <f ca="1"/>
        <v>75.489999999999995</v>
      </c>
      <c r="K53" s="15">
        <f t="shared" ca="1" si="4"/>
        <v>3.6163730295403429E-2</v>
      </c>
      <c r="L53" vm="313">
        <v>5569.06</v>
      </c>
      <c r="M53" s="15">
        <f t="shared" si="5"/>
        <v>6.1523847830692979E-2</v>
      </c>
    </row>
    <row r="54" spans="1:13" x14ac:dyDescent="0.25">
      <c r="A54" s="16">
        <v>45778</v>
      </c>
      <c r="B54" s="14" vm="314">
        <f ca="1"/>
        <v>382.64</v>
      </c>
      <c r="C54" s="15">
        <f t="shared" ca="1" si="0"/>
        <v>3.394835877064617E-2</v>
      </c>
      <c r="D54" s="14" vm="315">
        <f ca="1"/>
        <v>155.21</v>
      </c>
      <c r="E54" s="15">
        <f t="shared" ca="1" si="1"/>
        <v>-1.5849494233619033E-2</v>
      </c>
      <c r="F54" s="14" vm="316">
        <f ca="1"/>
        <v>133.58000000000001</v>
      </c>
      <c r="G54" s="15">
        <f t="shared" ca="1" si="2"/>
        <v>1.8191346009881482E-2</v>
      </c>
      <c r="H54" s="14" vm="317">
        <f ca="1"/>
        <v>105.26</v>
      </c>
      <c r="I54" s="15">
        <f t="shared" ca="1" si="3"/>
        <v>2.0425612768383061E-2</v>
      </c>
      <c r="J54" s="14" vm="318">
        <f ca="1"/>
        <v>78.22</v>
      </c>
      <c r="K54" s="15">
        <f t="shared" ca="1" si="4"/>
        <v>-1.2784454103820231E-4</v>
      </c>
      <c r="L54" vm="319">
        <v>5911.69</v>
      </c>
      <c r="M54" s="15">
        <f t="shared" si="5"/>
        <v>4.960679602617879E-2</v>
      </c>
    </row>
    <row r="55" spans="1:13" x14ac:dyDescent="0.25">
      <c r="A55" s="16">
        <v>45809</v>
      </c>
      <c r="B55" s="14" vm="320">
        <f ca="1"/>
        <v>395.63</v>
      </c>
      <c r="C55" s="15">
        <f t="shared" ca="1" si="0"/>
        <v>-7.3300811364153118E-3</v>
      </c>
      <c r="D55" s="14" vm="321">
        <f ca="1"/>
        <v>152.75</v>
      </c>
      <c r="E55" s="15">
        <f t="shared" ca="1" si="1"/>
        <v>7.8494271685761063E-2</v>
      </c>
      <c r="F55" s="14" vm="322">
        <f ca="1"/>
        <v>136.01</v>
      </c>
      <c r="G55" s="15">
        <f t="shared" ca="1" si="2"/>
        <v>-7.2200573487243513E-2</v>
      </c>
      <c r="H55" s="14" vm="323">
        <f ca="1"/>
        <v>107.41</v>
      </c>
      <c r="I55" s="15">
        <f t="shared" ca="1" si="3"/>
        <v>-2.3182199050367669E-2</v>
      </c>
      <c r="J55" s="14" vm="324">
        <f ca="1"/>
        <v>78.209999999999994</v>
      </c>
      <c r="K55" s="15">
        <f t="shared" ca="1" si="4"/>
        <v>1.4064697609001531E-2</v>
      </c>
      <c r="L55" vm="325">
        <v>6204.95</v>
      </c>
      <c r="M55" s="15">
        <f t="shared" si="5"/>
        <v>2.1666572655702376E-2</v>
      </c>
    </row>
    <row r="56" spans="1:13" x14ac:dyDescent="0.25">
      <c r="A56" s="16">
        <v>45839</v>
      </c>
      <c r="B56" s="14" vm="326">
        <f ca="1"/>
        <v>392.73</v>
      </c>
      <c r="C56" s="15">
        <f t="shared" ca="1" si="0"/>
        <v>-3.361087770223814E-3</v>
      </c>
      <c r="D56" s="14" vm="33">
        <f ca="1"/>
        <v>164.74</v>
      </c>
      <c r="E56" s="15">
        <f t="shared" ca="1" si="1"/>
        <v>7.5452227752822454E-2</v>
      </c>
      <c r="F56" s="14" vm="327">
        <f ca="1"/>
        <v>126.19</v>
      </c>
      <c r="G56" s="15">
        <f t="shared" ca="1" si="2"/>
        <v>5.1271891592043817E-2</v>
      </c>
      <c r="H56" s="14" vm="328">
        <f ca="1"/>
        <v>104.92</v>
      </c>
      <c r="I56" s="15">
        <f t="shared" ca="1" si="3"/>
        <v>5.5280213495996211E-3</v>
      </c>
      <c r="J56" s="14" vm="329">
        <f ca="1"/>
        <v>79.31</v>
      </c>
      <c r="K56" s="15">
        <f t="shared" ca="1" si="4"/>
        <v>2.5595763459841159E-2</v>
      </c>
      <c r="L56" vm="330">
        <v>6339.39</v>
      </c>
      <c r="M56" s="15">
        <f t="shared" si="5"/>
        <v>1.9066503244002941E-2</v>
      </c>
    </row>
    <row r="57" spans="1:13" x14ac:dyDescent="0.25">
      <c r="A57" s="16">
        <v>45870</v>
      </c>
      <c r="B57" s="14" vm="331">
        <f ca="1"/>
        <v>391.41</v>
      </c>
      <c r="C57" s="15">
        <f t="shared" ca="1" si="0"/>
        <v>-5.5542781226846527E-2</v>
      </c>
      <c r="D57" s="14" vm="332">
        <f ca="1"/>
        <v>177.17</v>
      </c>
      <c r="E57" s="15">
        <f t="shared" ca="1" si="1"/>
        <v>4.6565445617203771E-2</v>
      </c>
      <c r="F57" s="14" vm="333">
        <f ca="1"/>
        <v>132.66</v>
      </c>
      <c r="G57" s="15">
        <f t="shared" ca="1" si="2"/>
        <v>9.6487260666364705E-3</v>
      </c>
      <c r="H57" s="14" vm="334">
        <f ca="1"/>
        <v>105.5</v>
      </c>
      <c r="I57" s="15">
        <f t="shared" ca="1" si="3"/>
        <v>-7.459715639810427E-2</v>
      </c>
      <c r="J57" s="14" vm="335">
        <f ca="1"/>
        <v>81.34</v>
      </c>
      <c r="K57" s="15">
        <f t="shared" ca="1" si="4"/>
        <v>-4.3889845094664426E-2</v>
      </c>
      <c r="L57" vm="336">
        <v>6460.26</v>
      </c>
      <c r="M57" s="15">
        <f t="shared" si="5"/>
        <v>3.5323655704259549E-2</v>
      </c>
    </row>
    <row r="58" spans="1:13" x14ac:dyDescent="0.25">
      <c r="A58" s="16">
        <v>45901</v>
      </c>
      <c r="B58" s="14" vm="337">
        <f ca="1"/>
        <v>369.67</v>
      </c>
      <c r="C58" s="15">
        <f t="shared" ca="1" si="0"/>
        <v>-3.6329699461682075E-2</v>
      </c>
      <c r="D58" s="14" vm="338">
        <f ca="1"/>
        <v>185.42</v>
      </c>
      <c r="E58" s="15">
        <f t="shared" ca="1" si="1"/>
        <v>1.8606407075827835E-2</v>
      </c>
      <c r="F58" s="14" vm="339">
        <f ca="1"/>
        <v>133.94</v>
      </c>
      <c r="G58" s="15">
        <f t="shared" ca="1" si="2"/>
        <v>-7.7049425115723436E-2</v>
      </c>
      <c r="H58" s="14" vm="340">
        <f ca="1"/>
        <v>97.63</v>
      </c>
      <c r="I58" s="15">
        <f t="shared" ca="1" si="3"/>
        <v>3.165010754890929E-2</v>
      </c>
      <c r="J58" s="14" vm="341">
        <f ca="1"/>
        <v>77.77</v>
      </c>
      <c r="K58" s="15">
        <f t="shared" ca="1" si="4"/>
        <v>6.0177446316060257E-2</v>
      </c>
      <c r="L58" vm="342">
        <v>6688.46</v>
      </c>
      <c r="M58" s="15">
        <f t="shared" si="5"/>
        <v>2.2686836730727133E-2</v>
      </c>
    </row>
    <row r="59" spans="1:13" x14ac:dyDescent="0.25">
      <c r="A59" s="16">
        <v>45931</v>
      </c>
      <c r="B59" s="14" vm="343">
        <f ca="1"/>
        <v>356.24</v>
      </c>
      <c r="C59" s="15">
        <f t="shared" ca="1" si="0"/>
        <v>4.1938019312822705E-2</v>
      </c>
      <c r="D59" s="14" vm="344">
        <f ca="1"/>
        <v>188.87</v>
      </c>
      <c r="E59" s="15">
        <f t="shared" ca="1" si="1"/>
        <v>9.5568380367448524E-2</v>
      </c>
      <c r="F59" s="14" vm="345">
        <f ca="1"/>
        <v>123.62</v>
      </c>
      <c r="G59" s="15">
        <f t="shared" ca="1" si="2"/>
        <v>4.2711535350266949E-2</v>
      </c>
      <c r="H59" s="14" vm="346">
        <f ca="1"/>
        <v>100.72</v>
      </c>
      <c r="I59" s="15">
        <f t="shared" ca="1" si="3"/>
        <v>8.5385226370136014E-3</v>
      </c>
      <c r="J59" s="14" vm="347">
        <f ca="1"/>
        <v>82.45</v>
      </c>
      <c r="K59" s="15">
        <f t="shared" ca="1" si="4"/>
        <v>5.118253486961799E-2</v>
      </c>
      <c r="L59" vm="348">
        <v>6840.2</v>
      </c>
      <c r="M59" s="15">
        <f t="shared" si="5"/>
        <v>1.299669600304032E-3</v>
      </c>
    </row>
    <row r="60" spans="1:13" x14ac:dyDescent="0.25">
      <c r="A60" s="16">
        <v>45962</v>
      </c>
      <c r="B60" s="14" vm="349">
        <f ca="1"/>
        <v>371.18</v>
      </c>
      <c r="C60" s="15">
        <f t="shared" ca="1" si="0"/>
        <v>-5.310092138585043E-2</v>
      </c>
      <c r="D60" s="14" vm="350">
        <f ca="1"/>
        <v>206.92</v>
      </c>
      <c r="E60" s="15">
        <f t="shared" ca="1" si="1"/>
        <v>1.4498356852898908E-4</v>
      </c>
      <c r="F60" s="14" vm="351">
        <f ca="1"/>
        <v>128.9</v>
      </c>
      <c r="G60" s="15">
        <f t="shared" ca="1" si="2"/>
        <v>-2.8006206361520514E-2</v>
      </c>
      <c r="H60" s="14" vm="352">
        <f ca="1"/>
        <v>101.58</v>
      </c>
      <c r="I60" s="15">
        <f t="shared" ca="1" si="3"/>
        <v>-6.1330970663516449E-2</v>
      </c>
      <c r="J60" s="14" vm="353">
        <f ca="1"/>
        <v>86.67</v>
      </c>
      <c r="K60" s="15">
        <f t="shared" ca="1" si="4"/>
        <v>-1.6383985231337328E-2</v>
      </c>
      <c r="L60" vm="354">
        <v>6849.09</v>
      </c>
      <c r="M60" s="15">
        <f t="shared" si="5"/>
        <v>-5.2415722380638741E-4</v>
      </c>
    </row>
    <row r="61" spans="1:13" x14ac:dyDescent="0.25">
      <c r="A61" s="16">
        <v>45992</v>
      </c>
      <c r="B61" s="14" vm="355">
        <f ca="1"/>
        <v>351.47</v>
      </c>
      <c r="C61" s="15">
        <f t="shared" ca="1" si="0"/>
        <v>5.1469542208438801E-2</v>
      </c>
      <c r="D61" s="14" vm="356">
        <f ca="1"/>
        <v>206.95</v>
      </c>
      <c r="E61" s="15">
        <f t="shared" ca="1" si="1"/>
        <v>9.8091326407344859E-2</v>
      </c>
      <c r="F61" s="14" vm="357">
        <f ca="1"/>
        <v>125.29</v>
      </c>
      <c r="G61" s="15">
        <f t="shared" ca="1" si="2"/>
        <v>-0.1276239125229468</v>
      </c>
      <c r="H61" s="14" vm="358">
        <f ca="1"/>
        <v>95.35</v>
      </c>
      <c r="I61" s="15">
        <f t="shared" ca="1" si="3"/>
        <v>-1.9087572102779116E-2</v>
      </c>
      <c r="J61" s="14" vm="359">
        <f ca="1"/>
        <v>85.25</v>
      </c>
      <c r="K61" s="15">
        <f t="shared" ca="1" si="4"/>
        <v>-4.5630498533724362E-2</v>
      </c>
      <c r="L61" vm="360">
        <v>6845.5</v>
      </c>
      <c r="M61" s="15">
        <f t="shared" si="5"/>
        <v>1.3662990285588927E-2</v>
      </c>
    </row>
    <row r="62" spans="1:13" x14ac:dyDescent="0.25">
      <c r="A62" s="16">
        <v>46023</v>
      </c>
      <c r="B62" s="14" vm="361">
        <f ca="1"/>
        <v>369.56</v>
      </c>
      <c r="C62" s="15">
        <f t="shared" ca="1" si="0"/>
        <v>4.8435977919688122E-2</v>
      </c>
      <c r="D62" s="14" vm="362">
        <f ca="1"/>
        <v>227.25</v>
      </c>
      <c r="E62" s="15">
        <f t="shared" ca="1" si="1"/>
        <v>9.320132013201321E-2</v>
      </c>
      <c r="F62" s="14" vm="363">
        <f ca="1"/>
        <v>109.3</v>
      </c>
      <c r="G62" s="15">
        <f t="shared" ca="1" si="2"/>
        <v>6.4501372369624832E-2</v>
      </c>
      <c r="H62" s="14" vm="364">
        <f ca="1"/>
        <v>93.53</v>
      </c>
      <c r="I62" s="15">
        <f t="shared" ca="1" si="3"/>
        <v>-0.17833850101571691</v>
      </c>
      <c r="J62" s="14" vm="365">
        <f ca="1"/>
        <v>81.36</v>
      </c>
      <c r="K62" s="15">
        <f t="shared" ca="1" si="4"/>
        <v>6.2807276302851545E-2</v>
      </c>
      <c r="L62" vm="366">
        <v>6939.03</v>
      </c>
      <c r="M62" s="15">
        <f t="shared" si="5"/>
        <v>-8.6683585457909551E-3</v>
      </c>
    </row>
    <row r="63" spans="1:13" x14ac:dyDescent="0.25">
      <c r="A63" s="16">
        <v>46054</v>
      </c>
      <c r="B63" s="14" vm="367">
        <f ca="1"/>
        <v>387.46</v>
      </c>
      <c r="C63" s="15">
        <f t="shared" ca="1" si="0"/>
        <v>-0.15193826459505499</v>
      </c>
      <c r="D63" s="14" vm="368">
        <f ca="1"/>
        <v>248.43</v>
      </c>
      <c r="E63" s="15">
        <f t="shared" ca="1" si="1"/>
        <v>-1.6060862214708371E-2</v>
      </c>
      <c r="F63" s="14" vm="369">
        <f ca="1"/>
        <v>116.35</v>
      </c>
      <c r="G63" s="15">
        <f t="shared" ca="1" si="2"/>
        <v>-0.11757627847013319</v>
      </c>
      <c r="H63" s="14" vm="370">
        <f ca="1"/>
        <v>76.849999999999994</v>
      </c>
      <c r="I63" s="15">
        <f t="shared" ca="1" si="3"/>
        <v>-0.18347430058555625</v>
      </c>
      <c r="J63" s="14" vm="371">
        <f ca="1"/>
        <v>86.47</v>
      </c>
      <c r="K63" s="15">
        <f t="shared" ca="1" si="4"/>
        <v>-7.3898461894298606E-2</v>
      </c>
      <c r="L63" vm="372">
        <v>6878.88</v>
      </c>
      <c r="M63" s="15">
        <f t="shared" si="5"/>
        <v>-5.4136719931151656E-2</v>
      </c>
    </row>
    <row r="64" spans="1:13" x14ac:dyDescent="0.25">
      <c r="A64" s="16">
        <v>46082</v>
      </c>
      <c r="B64" s="14" vm="373">
        <f ca="1"/>
        <v>328.59</v>
      </c>
      <c r="C64" s="15"/>
      <c r="D64" s="14" vm="374">
        <f ca="1"/>
        <v>244.44</v>
      </c>
      <c r="E64" s="15"/>
      <c r="F64" s="14" vm="375">
        <f ca="1"/>
        <v>102.67</v>
      </c>
      <c r="G64" s="15"/>
      <c r="H64" s="14" vm="376">
        <f ca="1"/>
        <v>62.75</v>
      </c>
      <c r="I64" s="15"/>
      <c r="J64" s="14" vm="377">
        <f ca="1"/>
        <v>80.08</v>
      </c>
      <c r="K64" s="15"/>
      <c r="L64" vm="378">
        <v>6506.48</v>
      </c>
      <c r="M64" s="15"/>
    </row>
    <row r="66" spans="1:18" x14ac:dyDescent="0.25">
      <c r="B66" t="s">
        <v>1513</v>
      </c>
      <c r="L66" s="111" t="s">
        <v>2154</v>
      </c>
      <c r="M66" s="111"/>
      <c r="N66" s="111"/>
      <c r="O66" s="111"/>
      <c r="P66" s="111"/>
      <c r="Q66" s="111"/>
      <c r="R66" s="111"/>
    </row>
    <row r="67" spans="1:18" x14ac:dyDescent="0.25">
      <c r="A67" s="18" t="str">
        <f>B1</f>
        <v>SYK</v>
      </c>
      <c r="B67" s="17">
        <f ca="1">SLOPE(C2:C63,$M$2:$M$63)</f>
        <v>0.9282756473402165</v>
      </c>
    </row>
    <row r="68" spans="1:18" x14ac:dyDescent="0.25">
      <c r="A68" s="19" t="str">
        <f>D1</f>
        <v>JNJ</v>
      </c>
      <c r="B68" s="17">
        <f ca="1">SLOPE(E2:E63,$M$2:$M$63)</f>
        <v>0.32763773001534369</v>
      </c>
    </row>
    <row r="69" spans="1:18" x14ac:dyDescent="0.25">
      <c r="A69" s="19" t="str">
        <f>F1</f>
        <v>ABT</v>
      </c>
      <c r="B69" s="17">
        <f ca="1">SLOPE(G2:G63,$M$2:$M$63)</f>
        <v>0.77017980644001605</v>
      </c>
    </row>
    <row r="70" spans="1:18" x14ac:dyDescent="0.25">
      <c r="A70" s="19" t="str">
        <f>H1</f>
        <v>BSX</v>
      </c>
      <c r="B70" s="17">
        <f ca="1">SLOPE(I2:I63,$M$2:$M$63)</f>
        <v>0.78314865720002846</v>
      </c>
    </row>
    <row r="71" spans="1:18" x14ac:dyDescent="0.25">
      <c r="A71" s="19" t="str">
        <f>J1</f>
        <v>EW</v>
      </c>
      <c r="B71" s="17">
        <f ca="1">SLOPE(K2:K63,$M$2:$M$63)</f>
        <v>0.93461730942512533</v>
      </c>
    </row>
    <row r="72" spans="1:18" x14ac:dyDescent="0.25">
      <c r="A72" s="19" t="str">
        <f>L1</f>
        <v>S&amp;P 500</v>
      </c>
      <c r="B72" s="17">
        <f>SLOPE(M2:M63,$M$2:$M$63)</f>
        <v>1</v>
      </c>
    </row>
  </sheetData>
  <mergeCells count="1">
    <mergeCell ref="L66:R6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tabColor theme="4"/>
  </sheetPr>
  <dimension ref="A1:N305"/>
  <sheetViews>
    <sheetView workbookViewId="0">
      <selection activeCell="A4" sqref="A3:N4"/>
    </sheetView>
  </sheetViews>
  <sheetFormatPr defaultRowHeight="15" x14ac:dyDescent="0.25"/>
  <cols>
    <col min="1" max="1" width="34.28515625" customWidth="1"/>
    <col min="2" max="4" width="0" hidden="1" customWidth="1"/>
    <col min="5" max="14" width="19" customWidth="1"/>
  </cols>
  <sheetData>
    <row r="1" spans="1:14" ht="20.25" x14ac:dyDescent="0.25">
      <c r="A1" s="1" t="s">
        <v>0</v>
      </c>
      <c r="B1" s="1"/>
      <c r="C1" s="1"/>
      <c r="D1" s="1"/>
      <c r="E1" s="1"/>
      <c r="F1" s="1"/>
      <c r="G1" s="1"/>
      <c r="H1" s="1"/>
      <c r="I1" s="1"/>
      <c r="J1" s="1"/>
      <c r="K1" s="1"/>
      <c r="L1" s="1"/>
      <c r="M1" s="1"/>
      <c r="N1" s="1"/>
    </row>
    <row r="2" spans="1:14" x14ac:dyDescent="0.25">
      <c r="A2" s="2" t="s">
        <v>1</v>
      </c>
      <c r="B2" s="2"/>
      <c r="C2" s="2"/>
      <c r="D2" s="2"/>
      <c r="E2" s="2"/>
      <c r="F2" s="2"/>
      <c r="G2" s="2"/>
      <c r="H2" s="2"/>
      <c r="I2" s="2"/>
      <c r="J2" s="2"/>
      <c r="K2" s="2"/>
      <c r="L2" s="2"/>
      <c r="M2" s="2"/>
    </row>
    <row r="3" spans="1:14" x14ac:dyDescent="0.25">
      <c r="A3" s="11" t="s">
        <v>2</v>
      </c>
      <c r="B3" s="11"/>
      <c r="C3" s="11"/>
      <c r="D3" s="11"/>
      <c r="E3" s="11" t="s">
        <v>1473</v>
      </c>
      <c r="F3" s="11" t="s">
        <v>1474</v>
      </c>
      <c r="G3" s="11" t="s">
        <v>1475</v>
      </c>
      <c r="H3" s="11" t="s">
        <v>1476</v>
      </c>
      <c r="I3" s="11" t="s">
        <v>1477</v>
      </c>
      <c r="J3" s="11" t="s">
        <v>1478</v>
      </c>
      <c r="K3" s="11" t="s">
        <v>1479</v>
      </c>
      <c r="L3" s="11" t="s">
        <v>1480</v>
      </c>
      <c r="M3" s="11" t="s">
        <v>1481</v>
      </c>
      <c r="N3" s="11" t="s">
        <v>1482</v>
      </c>
    </row>
    <row r="4" spans="1:14" x14ac:dyDescent="0.25">
      <c r="A4" s="12" t="s">
        <v>3</v>
      </c>
      <c r="B4" s="12" t="s">
        <v>4</v>
      </c>
      <c r="C4" s="12" t="s">
        <v>5</v>
      </c>
      <c r="D4" s="12" t="s">
        <v>6</v>
      </c>
      <c r="E4" s="10">
        <v>43465</v>
      </c>
      <c r="F4" s="10">
        <v>43830</v>
      </c>
      <c r="G4" s="10">
        <v>44196</v>
      </c>
      <c r="H4" s="10">
        <v>44561</v>
      </c>
      <c r="I4" s="10">
        <v>44926</v>
      </c>
      <c r="J4" s="10">
        <v>45291</v>
      </c>
      <c r="K4" s="10">
        <v>45657</v>
      </c>
      <c r="L4" s="10">
        <v>46022</v>
      </c>
      <c r="M4" s="10">
        <v>46387</v>
      </c>
      <c r="N4" s="10">
        <v>46752</v>
      </c>
    </row>
    <row r="5" spans="1:14" x14ac:dyDescent="0.25">
      <c r="A5" s="13" t="s">
        <v>7</v>
      </c>
      <c r="B5" s="7"/>
      <c r="C5" s="7"/>
      <c r="D5" s="7"/>
      <c r="E5" s="8"/>
      <c r="F5" s="8"/>
      <c r="G5" s="8"/>
      <c r="H5" s="8"/>
      <c r="I5" s="8"/>
      <c r="J5" s="8"/>
      <c r="K5" s="8"/>
      <c r="L5" s="8"/>
      <c r="M5" s="8"/>
      <c r="N5" s="8"/>
    </row>
    <row r="6" spans="1:14" x14ac:dyDescent="0.25">
      <c r="A6" s="13" t="s">
        <v>8</v>
      </c>
      <c r="B6" s="7" t="s">
        <v>9</v>
      </c>
      <c r="C6" s="7" t="s">
        <v>10</v>
      </c>
      <c r="D6" s="7"/>
      <c r="E6" s="8">
        <v>7.31</v>
      </c>
      <c r="F6" s="8">
        <v>8.26</v>
      </c>
      <c r="G6" s="8">
        <v>7.43</v>
      </c>
      <c r="H6" s="8">
        <v>9.09</v>
      </c>
      <c r="I6" s="8">
        <v>9.34</v>
      </c>
      <c r="J6" s="8">
        <v>10.6</v>
      </c>
      <c r="K6" s="8">
        <v>12.19</v>
      </c>
      <c r="L6" s="8">
        <v>13.63</v>
      </c>
      <c r="M6" s="8">
        <v>15.012333333333332</v>
      </c>
      <c r="N6" s="8">
        <v>16.776428571428575</v>
      </c>
    </row>
    <row r="7" spans="1:14" x14ac:dyDescent="0.25">
      <c r="A7" s="13" t="s">
        <v>11</v>
      </c>
      <c r="B7" s="7" t="s">
        <v>12</v>
      </c>
      <c r="C7" s="7" t="s">
        <v>13</v>
      </c>
      <c r="D7" s="7"/>
      <c r="E7" s="8">
        <v>13601</v>
      </c>
      <c r="F7" s="8">
        <v>14884</v>
      </c>
      <c r="G7" s="8">
        <v>14351</v>
      </c>
      <c r="H7" s="8">
        <v>17108</v>
      </c>
      <c r="I7" s="8">
        <v>18449</v>
      </c>
      <c r="J7" s="8">
        <v>20498</v>
      </c>
      <c r="K7" s="8">
        <v>22595</v>
      </c>
      <c r="L7" s="8">
        <v>25116</v>
      </c>
      <c r="M7" s="8">
        <v>27330.321428571431</v>
      </c>
      <c r="N7" s="8">
        <v>29617.035714285714</v>
      </c>
    </row>
    <row r="8" spans="1:14" x14ac:dyDescent="0.25">
      <c r="A8" s="13" t="s">
        <v>14</v>
      </c>
      <c r="B8" s="7" t="s">
        <v>15</v>
      </c>
      <c r="C8" s="7" t="s">
        <v>16</v>
      </c>
      <c r="D8" s="7"/>
      <c r="E8" s="8">
        <v>7.9</v>
      </c>
      <c r="F8" s="8">
        <v>8.1</v>
      </c>
      <c r="G8" s="8">
        <v>-4.8</v>
      </c>
      <c r="H8" s="8">
        <v>12.6</v>
      </c>
      <c r="I8" s="8">
        <v>9.6999999999999993</v>
      </c>
      <c r="J8" s="8">
        <v>11.5</v>
      </c>
      <c r="K8" s="8">
        <v>10.199999999999999</v>
      </c>
      <c r="L8" s="8">
        <v>10.3</v>
      </c>
      <c r="M8" s="8">
        <v>8.7066022413233863</v>
      </c>
      <c r="N8" s="8">
        <v>8.2261575025075011</v>
      </c>
    </row>
    <row r="9" spans="1:14" x14ac:dyDescent="0.25">
      <c r="A9" s="13" t="s">
        <v>17</v>
      </c>
      <c r="B9" s="7"/>
      <c r="C9" s="7"/>
      <c r="D9" s="7"/>
      <c r="E9" s="8"/>
      <c r="F9" s="8"/>
      <c r="G9" s="8"/>
      <c r="H9" s="8"/>
      <c r="I9" s="8"/>
      <c r="J9" s="8"/>
      <c r="K9" s="8"/>
      <c r="L9" s="8"/>
      <c r="M9" s="8"/>
      <c r="N9" s="8"/>
    </row>
    <row r="10" spans="1:14" x14ac:dyDescent="0.25">
      <c r="A10" s="13" t="s">
        <v>18</v>
      </c>
      <c r="B10" s="7"/>
      <c r="C10" s="7"/>
      <c r="D10" s="7"/>
      <c r="E10" s="8"/>
      <c r="F10" s="8"/>
      <c r="G10" s="8"/>
      <c r="H10" s="8"/>
      <c r="I10" s="8"/>
      <c r="J10" s="8"/>
      <c r="K10" s="8"/>
      <c r="L10" s="8"/>
      <c r="M10" s="8"/>
      <c r="N10" s="8"/>
    </row>
    <row r="11" spans="1:14" x14ac:dyDescent="0.25">
      <c r="A11" s="13" t="s">
        <v>19</v>
      </c>
      <c r="B11" s="7" t="s">
        <v>20</v>
      </c>
      <c r="C11" s="7" t="s">
        <v>21</v>
      </c>
      <c r="D11" s="7" t="s">
        <v>22</v>
      </c>
      <c r="E11" s="8" t="s">
        <v>1483</v>
      </c>
      <c r="F11" s="8">
        <v>6409</v>
      </c>
      <c r="G11" s="8">
        <v>6006</v>
      </c>
      <c r="H11" s="8">
        <v>7570</v>
      </c>
      <c r="I11" s="8">
        <v>7556</v>
      </c>
      <c r="J11" s="8">
        <v>8335</v>
      </c>
      <c r="K11" s="8">
        <v>9077</v>
      </c>
      <c r="L11" s="8">
        <v>9469</v>
      </c>
      <c r="M11" s="8">
        <v>10036.826122957234</v>
      </c>
      <c r="N11" s="8">
        <v>10760.019217126821</v>
      </c>
    </row>
    <row r="12" spans="1:14" x14ac:dyDescent="0.25">
      <c r="A12" s="13" t="s">
        <v>23</v>
      </c>
      <c r="B12" s="7" t="s">
        <v>15</v>
      </c>
      <c r="C12" s="7" t="s">
        <v>16</v>
      </c>
      <c r="D12" s="7" t="s">
        <v>22</v>
      </c>
      <c r="E12" s="8" t="s">
        <v>1483</v>
      </c>
      <c r="F12" s="8" t="s">
        <v>1483</v>
      </c>
      <c r="G12" s="8" t="s">
        <v>1483</v>
      </c>
      <c r="H12" s="8">
        <v>12</v>
      </c>
      <c r="I12" s="8">
        <v>7</v>
      </c>
      <c r="J12" s="8">
        <v>11.1</v>
      </c>
      <c r="K12" s="8">
        <v>8.6999999999999993</v>
      </c>
      <c r="L12" s="8">
        <v>9.5</v>
      </c>
      <c r="M12" s="8">
        <v>7.6316689677910974</v>
      </c>
      <c r="N12" s="8">
        <v>7.5633886545443172</v>
      </c>
    </row>
    <row r="13" spans="1:14" x14ac:dyDescent="0.25">
      <c r="A13" s="13" t="s">
        <v>24</v>
      </c>
      <c r="B13" s="7" t="s">
        <v>20</v>
      </c>
      <c r="C13" s="7" t="s">
        <v>21</v>
      </c>
      <c r="D13" s="7" t="s">
        <v>25</v>
      </c>
      <c r="E13" s="8">
        <v>1701</v>
      </c>
      <c r="F13" s="8">
        <v>1815</v>
      </c>
      <c r="G13" s="8">
        <v>1567</v>
      </c>
      <c r="H13" s="8">
        <v>1848</v>
      </c>
      <c r="I13" s="8">
        <v>1997</v>
      </c>
      <c r="J13" s="8">
        <v>2273</v>
      </c>
      <c r="K13" s="8">
        <v>2447</v>
      </c>
      <c r="L13" s="8">
        <v>2656</v>
      </c>
      <c r="M13" s="8">
        <v>2840.8475223685077</v>
      </c>
      <c r="N13" s="8">
        <v>3021.1801706123811</v>
      </c>
    </row>
    <row r="14" spans="1:14" x14ac:dyDescent="0.25">
      <c r="A14" s="13" t="s">
        <v>26</v>
      </c>
      <c r="B14" s="7" t="s">
        <v>20</v>
      </c>
      <c r="C14" s="7" t="s">
        <v>21</v>
      </c>
      <c r="D14" s="7" t="s">
        <v>27</v>
      </c>
      <c r="E14" s="8">
        <v>1336</v>
      </c>
      <c r="F14" s="8">
        <v>1383</v>
      </c>
      <c r="G14" s="8">
        <v>1206</v>
      </c>
      <c r="H14" s="8">
        <v>1342</v>
      </c>
      <c r="I14" s="8">
        <v>1413</v>
      </c>
      <c r="J14" s="8">
        <v>1544</v>
      </c>
      <c r="K14" s="8">
        <v>1704</v>
      </c>
      <c r="L14" s="8">
        <v>1865</v>
      </c>
      <c r="M14" s="8">
        <v>1989.126101181537</v>
      </c>
      <c r="N14" s="8">
        <v>2109.3862445426835</v>
      </c>
    </row>
    <row r="15" spans="1:14" x14ac:dyDescent="0.25">
      <c r="A15" s="13" t="s">
        <v>28</v>
      </c>
      <c r="B15" s="7" t="s">
        <v>20</v>
      </c>
      <c r="C15" s="7" t="s">
        <v>21</v>
      </c>
      <c r="D15" s="7" t="s">
        <v>29</v>
      </c>
      <c r="E15" s="8">
        <v>1580</v>
      </c>
      <c r="F15" s="8">
        <v>1639</v>
      </c>
      <c r="G15" s="8">
        <v>1722</v>
      </c>
      <c r="H15" s="8">
        <v>2664</v>
      </c>
      <c r="I15" s="8">
        <v>2807</v>
      </c>
      <c r="J15" s="8">
        <v>3147</v>
      </c>
      <c r="K15" s="8">
        <v>3507</v>
      </c>
      <c r="L15" s="8">
        <v>3948</v>
      </c>
      <c r="M15" s="8">
        <v>4317.0976714534481</v>
      </c>
      <c r="N15" s="8">
        <v>4670.8913056557176</v>
      </c>
    </row>
    <row r="16" spans="1:14" x14ac:dyDescent="0.25">
      <c r="A16" s="13" t="s">
        <v>30</v>
      </c>
      <c r="B16" s="7" t="s">
        <v>20</v>
      </c>
      <c r="C16" s="7" t="s">
        <v>21</v>
      </c>
      <c r="D16" s="7" t="s">
        <v>31</v>
      </c>
      <c r="E16" s="8" t="s">
        <v>1483</v>
      </c>
      <c r="F16" s="8" t="s">
        <v>1483</v>
      </c>
      <c r="G16" s="8" t="s">
        <v>1483</v>
      </c>
      <c r="H16" s="8" t="s">
        <v>1483</v>
      </c>
      <c r="I16" s="8">
        <v>733</v>
      </c>
      <c r="J16" s="8">
        <v>713</v>
      </c>
      <c r="K16" s="8">
        <v>707</v>
      </c>
      <c r="L16" s="8">
        <v>185</v>
      </c>
      <c r="M16" s="8">
        <v>24</v>
      </c>
      <c r="N16" s="8" t="s">
        <v>1483</v>
      </c>
    </row>
    <row r="17" spans="1:14" x14ac:dyDescent="0.25">
      <c r="A17" s="13" t="s">
        <v>32</v>
      </c>
      <c r="B17" s="7" t="s">
        <v>20</v>
      </c>
      <c r="C17" s="7" t="s">
        <v>21</v>
      </c>
      <c r="D17" s="7" t="s">
        <v>33</v>
      </c>
      <c r="E17" s="8">
        <v>374</v>
      </c>
      <c r="F17" s="8">
        <v>415</v>
      </c>
      <c r="G17" s="8">
        <v>464</v>
      </c>
      <c r="H17" s="8">
        <v>549</v>
      </c>
      <c r="I17" s="8">
        <v>606</v>
      </c>
      <c r="J17" s="8">
        <v>658</v>
      </c>
      <c r="K17" s="8">
        <v>712</v>
      </c>
      <c r="L17" s="8">
        <v>815</v>
      </c>
      <c r="M17" s="8">
        <v>872.60132232936553</v>
      </c>
      <c r="N17" s="8">
        <v>937.52089965711741</v>
      </c>
    </row>
    <row r="18" spans="1:14" x14ac:dyDescent="0.25">
      <c r="A18" s="13" t="s">
        <v>34</v>
      </c>
      <c r="B18" s="7"/>
      <c r="C18" s="7"/>
      <c r="D18" s="7"/>
      <c r="E18" s="8"/>
      <c r="F18" s="8"/>
      <c r="G18" s="8"/>
      <c r="H18" s="8"/>
      <c r="I18" s="8"/>
      <c r="J18" s="8"/>
      <c r="K18" s="8"/>
      <c r="L18" s="8"/>
      <c r="M18" s="8"/>
      <c r="N18" s="8"/>
    </row>
    <row r="19" spans="1:14" x14ac:dyDescent="0.25">
      <c r="A19" s="13" t="s">
        <v>19</v>
      </c>
      <c r="B19" s="7" t="s">
        <v>20</v>
      </c>
      <c r="C19" s="7" t="s">
        <v>21</v>
      </c>
      <c r="D19" s="7" t="s">
        <v>35</v>
      </c>
      <c r="E19" s="8" t="s">
        <v>1483</v>
      </c>
      <c r="F19" s="8">
        <v>8475</v>
      </c>
      <c r="G19" s="8">
        <v>8345</v>
      </c>
      <c r="H19" s="8">
        <v>9538</v>
      </c>
      <c r="I19" s="8">
        <v>10893</v>
      </c>
      <c r="J19" s="8">
        <v>12163</v>
      </c>
      <c r="K19" s="8">
        <v>13518</v>
      </c>
      <c r="L19" s="8">
        <v>15647</v>
      </c>
      <c r="M19" s="8">
        <v>17280.119747024371</v>
      </c>
      <c r="N19" s="8">
        <v>18817.611747826377</v>
      </c>
    </row>
    <row r="20" spans="1:14" x14ac:dyDescent="0.25">
      <c r="A20" s="13" t="s">
        <v>23</v>
      </c>
      <c r="B20" s="7" t="s">
        <v>15</v>
      </c>
      <c r="C20" s="7" t="s">
        <v>16</v>
      </c>
      <c r="D20" s="7" t="s">
        <v>35</v>
      </c>
      <c r="E20" s="8" t="s">
        <v>1483</v>
      </c>
      <c r="F20" s="8" t="s">
        <v>1483</v>
      </c>
      <c r="G20" s="8" t="s">
        <v>1483</v>
      </c>
      <c r="H20" s="8">
        <v>13.1</v>
      </c>
      <c r="I20" s="8">
        <v>11.8</v>
      </c>
      <c r="J20" s="8">
        <v>11.8</v>
      </c>
      <c r="K20" s="8">
        <v>11.2</v>
      </c>
      <c r="L20" s="8">
        <v>10.7</v>
      </c>
      <c r="M20" s="8">
        <v>8.9022669604111702</v>
      </c>
      <c r="N20" s="8">
        <v>9.1432523144387527</v>
      </c>
    </row>
    <row r="21" spans="1:14" x14ac:dyDescent="0.25">
      <c r="A21" s="13" t="s">
        <v>36</v>
      </c>
      <c r="B21" s="7" t="s">
        <v>20</v>
      </c>
      <c r="C21" s="7" t="s">
        <v>21</v>
      </c>
      <c r="D21" s="7" t="s">
        <v>37</v>
      </c>
      <c r="E21" s="8">
        <v>1822</v>
      </c>
      <c r="F21" s="8">
        <v>1959</v>
      </c>
      <c r="G21" s="8">
        <v>1863</v>
      </c>
      <c r="H21" s="8">
        <v>2111</v>
      </c>
      <c r="I21" s="8">
        <v>2245</v>
      </c>
      <c r="J21" s="8">
        <v>2534</v>
      </c>
      <c r="K21" s="8">
        <v>2834</v>
      </c>
      <c r="L21" s="8">
        <v>3183</v>
      </c>
      <c r="M21" s="8">
        <v>3496.0530493109168</v>
      </c>
      <c r="N21" s="8">
        <v>3793.149441690261</v>
      </c>
    </row>
    <row r="22" spans="1:14" x14ac:dyDescent="0.25">
      <c r="A22" s="13" t="s">
        <v>38</v>
      </c>
      <c r="B22" s="7" t="s">
        <v>20</v>
      </c>
      <c r="C22" s="7" t="s">
        <v>21</v>
      </c>
      <c r="D22" s="7" t="s">
        <v>39</v>
      </c>
      <c r="E22" s="8">
        <v>1846</v>
      </c>
      <c r="F22" s="8">
        <v>1983</v>
      </c>
      <c r="G22" s="8">
        <v>1763</v>
      </c>
      <c r="H22" s="8">
        <v>2141</v>
      </c>
      <c r="I22" s="8">
        <v>2759</v>
      </c>
      <c r="J22" s="8">
        <v>3068</v>
      </c>
      <c r="K22" s="8">
        <v>3389</v>
      </c>
      <c r="L22" s="8">
        <v>3807</v>
      </c>
      <c r="M22" s="8">
        <v>4150.3640071453901</v>
      </c>
      <c r="N22" s="8">
        <v>4500.9321079832916</v>
      </c>
    </row>
    <row r="23" spans="1:14" x14ac:dyDescent="0.25">
      <c r="A23" s="13" t="s">
        <v>40</v>
      </c>
      <c r="B23" s="7" t="s">
        <v>20</v>
      </c>
      <c r="C23" s="7" t="s">
        <v>21</v>
      </c>
      <c r="D23" s="7" t="s">
        <v>41</v>
      </c>
      <c r="E23" s="8">
        <v>2118</v>
      </c>
      <c r="F23" s="8">
        <v>2264</v>
      </c>
      <c r="G23" s="8">
        <v>2524</v>
      </c>
      <c r="H23" s="8">
        <v>2607</v>
      </c>
      <c r="I23" s="8">
        <v>3031</v>
      </c>
      <c r="J23" s="8">
        <v>3459</v>
      </c>
      <c r="K23" s="8">
        <v>3852</v>
      </c>
      <c r="L23" s="8">
        <v>4204</v>
      </c>
      <c r="M23" s="8">
        <v>4604.4724726681407</v>
      </c>
      <c r="N23" s="8">
        <v>5005.0767999361042</v>
      </c>
    </row>
    <row r="24" spans="1:14" x14ac:dyDescent="0.25">
      <c r="A24" s="13" t="s">
        <v>42</v>
      </c>
      <c r="B24" s="7" t="s">
        <v>20</v>
      </c>
      <c r="C24" s="7" t="s">
        <v>21</v>
      </c>
      <c r="D24" s="7" t="s">
        <v>43</v>
      </c>
      <c r="E24" s="8" t="s">
        <v>1483</v>
      </c>
      <c r="F24" s="8">
        <v>924</v>
      </c>
      <c r="G24" s="8">
        <v>973</v>
      </c>
      <c r="H24" s="8">
        <v>1188</v>
      </c>
      <c r="I24" s="8">
        <v>1200</v>
      </c>
      <c r="J24" s="8">
        <v>1226</v>
      </c>
      <c r="K24" s="8">
        <v>1307</v>
      </c>
      <c r="L24" s="8">
        <v>1968</v>
      </c>
      <c r="M24" s="8">
        <v>2273.4045212153296</v>
      </c>
      <c r="N24" s="8">
        <v>2502.0555585108568</v>
      </c>
    </row>
    <row r="25" spans="1:14" x14ac:dyDescent="0.25">
      <c r="A25" s="13" t="s">
        <v>44</v>
      </c>
      <c r="B25" s="7" t="s">
        <v>20</v>
      </c>
      <c r="C25" s="7" t="s">
        <v>21</v>
      </c>
      <c r="D25" s="7" t="s">
        <v>45</v>
      </c>
      <c r="E25" s="8" t="s">
        <v>1483</v>
      </c>
      <c r="F25" s="8">
        <v>1059</v>
      </c>
      <c r="G25" s="8">
        <v>972</v>
      </c>
      <c r="H25" s="8">
        <v>1214</v>
      </c>
      <c r="I25" s="8">
        <v>1658</v>
      </c>
      <c r="J25" s="8">
        <v>1876</v>
      </c>
      <c r="K25" s="8">
        <v>2136</v>
      </c>
      <c r="L25" s="8">
        <v>2485</v>
      </c>
      <c r="M25" s="8">
        <v>2762.5908851631016</v>
      </c>
      <c r="N25" s="8">
        <v>3027.7050934373456</v>
      </c>
    </row>
    <row r="26" spans="1:14" x14ac:dyDescent="0.25">
      <c r="A26" s="13" t="s">
        <v>17</v>
      </c>
      <c r="B26" s="7"/>
      <c r="C26" s="7"/>
      <c r="D26" s="7"/>
      <c r="E26" s="8"/>
      <c r="F26" s="8"/>
      <c r="G26" s="8"/>
      <c r="H26" s="8"/>
      <c r="I26" s="8"/>
      <c r="J26" s="8"/>
      <c r="K26" s="8"/>
      <c r="L26" s="8"/>
      <c r="M26" s="8"/>
      <c r="N26" s="8"/>
    </row>
    <row r="27" spans="1:14" x14ac:dyDescent="0.25">
      <c r="A27" s="13" t="s">
        <v>46</v>
      </c>
      <c r="B27" s="7" t="s">
        <v>47</v>
      </c>
      <c r="C27" s="7" t="s">
        <v>48</v>
      </c>
      <c r="D27" s="7"/>
      <c r="E27" s="8">
        <v>66</v>
      </c>
      <c r="F27" s="8">
        <v>65.900000000000006</v>
      </c>
      <c r="G27" s="8">
        <v>63.8</v>
      </c>
      <c r="H27" s="8">
        <v>64.099999999999994</v>
      </c>
      <c r="I27" s="8">
        <v>63.1</v>
      </c>
      <c r="J27" s="8">
        <v>63.9</v>
      </c>
      <c r="K27" s="8">
        <v>64.461163999999997</v>
      </c>
      <c r="L27" s="8">
        <v>65.3</v>
      </c>
      <c r="M27" s="8">
        <v>65.211765350769568</v>
      </c>
      <c r="N27" s="8">
        <v>65.463259946705946</v>
      </c>
    </row>
    <row r="28" spans="1:14" x14ac:dyDescent="0.25">
      <c r="A28" s="13" t="s">
        <v>49</v>
      </c>
      <c r="B28" s="7" t="s">
        <v>50</v>
      </c>
      <c r="C28" s="7" t="s">
        <v>51</v>
      </c>
      <c r="D28" s="7"/>
      <c r="E28" s="8">
        <v>25.9</v>
      </c>
      <c r="F28" s="8">
        <v>26.3</v>
      </c>
      <c r="G28" s="8">
        <v>24.4</v>
      </c>
      <c r="H28" s="8">
        <v>25.6</v>
      </c>
      <c r="I28" s="8">
        <v>23.8</v>
      </c>
      <c r="J28" s="8">
        <v>24.2</v>
      </c>
      <c r="K28" s="8">
        <v>25.3</v>
      </c>
      <c r="L28" s="8">
        <v>26.3</v>
      </c>
      <c r="M28" s="8">
        <v>26.520947981339283</v>
      </c>
      <c r="N28" s="8">
        <v>27.099138946769504</v>
      </c>
    </row>
    <row r="29" spans="1:14" x14ac:dyDescent="0.25">
      <c r="A29" s="13" t="s">
        <v>52</v>
      </c>
      <c r="B29" s="7" t="s">
        <v>53</v>
      </c>
      <c r="C29" s="7" t="s">
        <v>54</v>
      </c>
      <c r="D29" s="7"/>
      <c r="E29" s="8">
        <v>2779</v>
      </c>
      <c r="F29" s="8">
        <v>3139</v>
      </c>
      <c r="G29" s="8">
        <v>2827</v>
      </c>
      <c r="H29" s="8">
        <v>3474</v>
      </c>
      <c r="I29" s="8">
        <v>3571</v>
      </c>
      <c r="J29" s="8">
        <v>4066</v>
      </c>
      <c r="K29" s="8">
        <v>4700</v>
      </c>
      <c r="L29" s="8">
        <v>5267</v>
      </c>
      <c r="M29" s="8">
        <v>5813.64</v>
      </c>
      <c r="N29" s="8">
        <v>6498.84</v>
      </c>
    </row>
    <row r="30" spans="1:14" x14ac:dyDescent="0.25">
      <c r="A30" s="13" t="s">
        <v>17</v>
      </c>
      <c r="B30" s="7"/>
      <c r="C30" s="7"/>
      <c r="D30" s="7"/>
      <c r="E30" s="8"/>
      <c r="F30" s="8"/>
      <c r="G30" s="8"/>
      <c r="H30" s="8"/>
      <c r="I30" s="8"/>
      <c r="J30" s="8"/>
      <c r="K30" s="8"/>
      <c r="L30" s="8"/>
      <c r="M30" s="8"/>
      <c r="N30" s="8"/>
    </row>
    <row r="31" spans="1:14" x14ac:dyDescent="0.25">
      <c r="A31" s="13" t="s">
        <v>55</v>
      </c>
      <c r="B31" s="7" t="s">
        <v>56</v>
      </c>
      <c r="C31" s="7" t="s">
        <v>57</v>
      </c>
      <c r="D31" s="7"/>
      <c r="E31" s="8">
        <v>6160</v>
      </c>
      <c r="F31" s="8">
        <v>6665</v>
      </c>
      <c r="G31" s="8">
        <v>10967</v>
      </c>
      <c r="H31" s="8">
        <v>9460</v>
      </c>
      <c r="I31" s="8">
        <v>11120</v>
      </c>
      <c r="J31" s="8">
        <v>9942</v>
      </c>
      <c r="K31" s="8">
        <v>9104</v>
      </c>
      <c r="L31" s="8">
        <v>11759</v>
      </c>
      <c r="M31" s="8">
        <v>9193.285714285721</v>
      </c>
      <c r="N31" s="8">
        <v>5874.5714285714303</v>
      </c>
    </row>
    <row r="32" spans="1:14" x14ac:dyDescent="0.25">
      <c r="A32" s="13" t="s">
        <v>58</v>
      </c>
      <c r="B32" s="7" t="s">
        <v>59</v>
      </c>
      <c r="C32" s="7" t="s">
        <v>60</v>
      </c>
      <c r="D32" s="7"/>
      <c r="E32" s="8">
        <v>2038</v>
      </c>
      <c r="F32" s="8">
        <v>1542</v>
      </c>
      <c r="G32" s="8">
        <v>2790</v>
      </c>
      <c r="H32" s="8">
        <v>2738</v>
      </c>
      <c r="I32" s="8">
        <v>2036</v>
      </c>
      <c r="J32" s="8">
        <v>3136</v>
      </c>
      <c r="K32" s="8">
        <v>3487</v>
      </c>
      <c r="L32" s="8">
        <v>4283</v>
      </c>
      <c r="M32" s="8">
        <v>5415.5254145164981</v>
      </c>
      <c r="N32" s="8">
        <v>5637.6500558557536</v>
      </c>
    </row>
    <row r="33" spans="1:14" x14ac:dyDescent="0.25">
      <c r="A33" s="13" t="s">
        <v>17</v>
      </c>
      <c r="B33" s="7"/>
      <c r="C33" s="7"/>
      <c r="D33" s="7"/>
      <c r="E33" s="8"/>
      <c r="F33" s="8"/>
      <c r="G33" s="8"/>
      <c r="H33" s="8"/>
      <c r="I33" s="8"/>
      <c r="J33" s="8"/>
      <c r="K33" s="8"/>
      <c r="L33" s="8"/>
      <c r="M33" s="8"/>
      <c r="N33" s="8"/>
    </row>
    <row r="34" spans="1:14" x14ac:dyDescent="0.25">
      <c r="A34" s="13" t="s">
        <v>61</v>
      </c>
      <c r="B34" s="7"/>
      <c r="C34" s="7"/>
      <c r="D34" s="7"/>
      <c r="E34" s="8"/>
      <c r="F34" s="8"/>
      <c r="G34" s="8"/>
      <c r="H34" s="8"/>
      <c r="I34" s="8"/>
      <c r="J34" s="8"/>
      <c r="K34" s="8"/>
      <c r="L34" s="8"/>
      <c r="M34" s="8"/>
      <c r="N34" s="8"/>
    </row>
    <row r="35" spans="1:14" x14ac:dyDescent="0.25">
      <c r="A35" s="13" t="s">
        <v>17</v>
      </c>
      <c r="B35" s="7"/>
      <c r="C35" s="7"/>
      <c r="D35" s="7"/>
      <c r="E35" s="8"/>
      <c r="F35" s="8"/>
      <c r="G35" s="8"/>
      <c r="H35" s="8"/>
      <c r="I35" s="8"/>
      <c r="J35" s="8"/>
      <c r="K35" s="8"/>
      <c r="L35" s="8"/>
      <c r="M35" s="8"/>
      <c r="N35" s="8"/>
    </row>
    <row r="36" spans="1:14" x14ac:dyDescent="0.25">
      <c r="A36" s="13" t="s">
        <v>62</v>
      </c>
      <c r="B36" s="7"/>
      <c r="C36" s="7"/>
      <c r="D36" s="7"/>
      <c r="E36" s="8"/>
      <c r="F36" s="8"/>
      <c r="G36" s="8"/>
      <c r="H36" s="8"/>
      <c r="I36" s="8"/>
      <c r="J36" s="8"/>
      <c r="K36" s="8"/>
      <c r="L36" s="8"/>
      <c r="M36" s="8"/>
      <c r="N36" s="8"/>
    </row>
    <row r="37" spans="1:14" x14ac:dyDescent="0.25">
      <c r="A37" s="13" t="s">
        <v>63</v>
      </c>
      <c r="B37" s="7" t="s">
        <v>64</v>
      </c>
      <c r="C37" s="7" t="s">
        <v>65</v>
      </c>
      <c r="D37" s="7"/>
      <c r="E37" s="8">
        <v>1.9</v>
      </c>
      <c r="F37" s="8">
        <v>2.6</v>
      </c>
      <c r="G37" s="8">
        <v>1.2</v>
      </c>
      <c r="H37" s="8">
        <v>5.5</v>
      </c>
      <c r="I37" s="8">
        <v>1.3</v>
      </c>
      <c r="J37" s="8">
        <v>0.1</v>
      </c>
      <c r="K37" s="8">
        <v>0.5</v>
      </c>
      <c r="L37" s="8">
        <v>0.4</v>
      </c>
      <c r="M37" s="8">
        <v>-0.16498594354257728</v>
      </c>
      <c r="N37" s="8">
        <v>0</v>
      </c>
    </row>
    <row r="38" spans="1:14" x14ac:dyDescent="0.25">
      <c r="A38" s="13" t="s">
        <v>17</v>
      </c>
      <c r="B38" s="7"/>
      <c r="C38" s="7"/>
      <c r="D38" s="7"/>
      <c r="E38" s="8"/>
      <c r="F38" s="8"/>
      <c r="G38" s="8"/>
      <c r="H38" s="8"/>
      <c r="I38" s="8"/>
      <c r="J38" s="8"/>
      <c r="K38" s="8"/>
      <c r="L38" s="8"/>
      <c r="M38" s="8"/>
      <c r="N38" s="8"/>
    </row>
    <row r="39" spans="1:14" x14ac:dyDescent="0.25">
      <c r="A39" s="13" t="s">
        <v>66</v>
      </c>
      <c r="B39" s="7"/>
      <c r="C39" s="7"/>
      <c r="D39" s="7"/>
      <c r="E39" s="8"/>
      <c r="F39" s="8"/>
      <c r="G39" s="8"/>
      <c r="H39" s="8"/>
      <c r="I39" s="8"/>
      <c r="J39" s="8"/>
      <c r="K39" s="8"/>
      <c r="L39" s="8"/>
      <c r="M39" s="8"/>
      <c r="N39" s="8"/>
    </row>
    <row r="40" spans="1:14" x14ac:dyDescent="0.25">
      <c r="A40" s="13" t="s">
        <v>67</v>
      </c>
      <c r="B40" s="7" t="s">
        <v>68</v>
      </c>
      <c r="C40" s="7" t="s">
        <v>69</v>
      </c>
      <c r="D40" s="7"/>
      <c r="E40" s="8">
        <v>232.78489405589031</v>
      </c>
      <c r="F40" s="8">
        <v>226.59734323537612</v>
      </c>
      <c r="G40" s="8">
        <v>248.33294789020434</v>
      </c>
      <c r="H40" s="8">
        <v>204.03154690315966</v>
      </c>
      <c r="I40" s="8">
        <v>197.8637488461672</v>
      </c>
      <c r="J40" s="8">
        <v>217.53560590996179</v>
      </c>
      <c r="K40" s="8">
        <v>206.26117017551525</v>
      </c>
      <c r="L40" s="8">
        <v>195.44022717066423</v>
      </c>
      <c r="M40" s="8" t="s">
        <v>1483</v>
      </c>
      <c r="N40" s="8" t="s">
        <v>1483</v>
      </c>
    </row>
    <row r="41" spans="1:14" x14ac:dyDescent="0.25">
      <c r="A41" s="13" t="s">
        <v>70</v>
      </c>
      <c r="B41" s="7" t="s">
        <v>71</v>
      </c>
      <c r="C41" s="7" t="s">
        <v>72</v>
      </c>
      <c r="D41" s="7"/>
      <c r="E41" s="8">
        <v>60.784133519594143</v>
      </c>
      <c r="F41" s="8">
        <v>64.066279226014515</v>
      </c>
      <c r="G41" s="8">
        <v>71.333147515852545</v>
      </c>
      <c r="H41" s="8">
        <v>61.050239653963054</v>
      </c>
      <c r="I41" s="8">
        <v>65.159493739498075</v>
      </c>
      <c r="J41" s="8">
        <v>65.261244999512144</v>
      </c>
      <c r="K41" s="8">
        <v>62.784509847311348</v>
      </c>
      <c r="L41" s="8">
        <v>58.319198917025005</v>
      </c>
      <c r="M41" s="8" t="s">
        <v>1483</v>
      </c>
      <c r="N41" s="8">
        <v>62.381672803983157</v>
      </c>
    </row>
    <row r="42" spans="1:14" x14ac:dyDescent="0.25">
      <c r="A42" s="13" t="s">
        <v>17</v>
      </c>
      <c r="B42" s="7"/>
      <c r="C42" s="7"/>
      <c r="D42" s="7"/>
      <c r="E42" s="8"/>
      <c r="F42" s="8"/>
      <c r="G42" s="8"/>
      <c r="H42" s="8"/>
      <c r="I42" s="8"/>
      <c r="J42" s="8"/>
      <c r="K42" s="8"/>
      <c r="L42" s="8"/>
      <c r="M42" s="8"/>
      <c r="N42" s="8"/>
    </row>
    <row r="43" spans="1:14" x14ac:dyDescent="0.25">
      <c r="A43" s="13" t="s">
        <v>73</v>
      </c>
      <c r="B43" s="7"/>
      <c r="C43" s="7"/>
      <c r="D43" s="7"/>
      <c r="E43" s="8"/>
      <c r="F43" s="8"/>
      <c r="G43" s="8"/>
      <c r="H43" s="8"/>
      <c r="I43" s="8"/>
      <c r="J43" s="8"/>
      <c r="K43" s="8"/>
      <c r="L43" s="8"/>
      <c r="M43" s="8"/>
      <c r="N43" s="8"/>
    </row>
    <row r="44" spans="1:14" x14ac:dyDescent="0.25">
      <c r="A44" s="13" t="s">
        <v>18</v>
      </c>
      <c r="B44" s="7"/>
      <c r="C44" s="7"/>
      <c r="D44" s="7"/>
      <c r="E44" s="8"/>
      <c r="F44" s="8"/>
      <c r="G44" s="8"/>
      <c r="H44" s="8"/>
      <c r="I44" s="8"/>
      <c r="J44" s="8"/>
      <c r="K44" s="8"/>
      <c r="L44" s="8"/>
      <c r="M44" s="8"/>
      <c r="N44" s="8"/>
    </row>
    <row r="45" spans="1:14" x14ac:dyDescent="0.25">
      <c r="A45" s="13" t="s">
        <v>19</v>
      </c>
      <c r="B45" s="7" t="s">
        <v>20</v>
      </c>
      <c r="C45" s="7" t="s">
        <v>21</v>
      </c>
      <c r="D45" s="7" t="s">
        <v>22</v>
      </c>
      <c r="E45" s="8" t="s">
        <v>1483</v>
      </c>
      <c r="F45" s="8">
        <v>6409</v>
      </c>
      <c r="G45" s="8">
        <v>6006</v>
      </c>
      <c r="H45" s="8">
        <v>7570</v>
      </c>
      <c r="I45" s="8">
        <v>7556</v>
      </c>
      <c r="J45" s="8">
        <v>8335</v>
      </c>
      <c r="K45" s="8">
        <v>9077</v>
      </c>
      <c r="L45" s="8">
        <v>9469</v>
      </c>
      <c r="M45" s="8">
        <v>10036.826122957234</v>
      </c>
      <c r="N45" s="8">
        <v>10760.019217126821</v>
      </c>
    </row>
    <row r="46" spans="1:14" x14ac:dyDescent="0.25">
      <c r="A46" s="13" t="s">
        <v>74</v>
      </c>
      <c r="B46" s="7" t="s">
        <v>75</v>
      </c>
      <c r="C46" s="7" t="s">
        <v>76</v>
      </c>
      <c r="D46" s="7" t="s">
        <v>22</v>
      </c>
      <c r="E46" s="8" t="s">
        <v>1483</v>
      </c>
      <c r="F46" s="8" t="s">
        <v>1483</v>
      </c>
      <c r="G46" s="8">
        <v>-6.4</v>
      </c>
      <c r="H46" s="8">
        <v>24.8</v>
      </c>
      <c r="I46" s="8">
        <v>7</v>
      </c>
      <c r="J46" s="8">
        <v>10.9</v>
      </c>
      <c r="K46" s="8">
        <v>9.4</v>
      </c>
      <c r="L46" s="8">
        <v>3.8</v>
      </c>
      <c r="M46" s="8">
        <v>6.2311648959264927</v>
      </c>
      <c r="N46" s="8">
        <v>7.6879714779072446</v>
      </c>
    </row>
    <row r="47" spans="1:14" x14ac:dyDescent="0.25">
      <c r="A47" s="13" t="s">
        <v>23</v>
      </c>
      <c r="B47" s="7" t="s">
        <v>15</v>
      </c>
      <c r="C47" s="7" t="s">
        <v>16</v>
      </c>
      <c r="D47" s="7" t="s">
        <v>22</v>
      </c>
      <c r="E47" s="8" t="s">
        <v>1483</v>
      </c>
      <c r="F47" s="8" t="s">
        <v>1483</v>
      </c>
      <c r="G47" s="8" t="s">
        <v>1483</v>
      </c>
      <c r="H47" s="8">
        <v>12</v>
      </c>
      <c r="I47" s="8">
        <v>7</v>
      </c>
      <c r="J47" s="8">
        <v>11.1</v>
      </c>
      <c r="K47" s="8">
        <v>8.6999999999999993</v>
      </c>
      <c r="L47" s="8">
        <v>9.5</v>
      </c>
      <c r="M47" s="8">
        <v>7.6316689677910974</v>
      </c>
      <c r="N47" s="8">
        <v>7.5633886545443172</v>
      </c>
    </row>
    <row r="48" spans="1:14" x14ac:dyDescent="0.25">
      <c r="A48" s="13" t="s">
        <v>24</v>
      </c>
      <c r="B48" s="7" t="s">
        <v>20</v>
      </c>
      <c r="C48" s="7" t="s">
        <v>21</v>
      </c>
      <c r="D48" s="7" t="s">
        <v>25</v>
      </c>
      <c r="E48" s="8">
        <v>1701</v>
      </c>
      <c r="F48" s="8">
        <v>1815</v>
      </c>
      <c r="G48" s="8">
        <v>1567</v>
      </c>
      <c r="H48" s="8">
        <v>1848</v>
      </c>
      <c r="I48" s="8">
        <v>1997</v>
      </c>
      <c r="J48" s="8">
        <v>2273</v>
      </c>
      <c r="K48" s="8">
        <v>2447</v>
      </c>
      <c r="L48" s="8">
        <v>2656</v>
      </c>
      <c r="M48" s="8">
        <v>2840.8475223685077</v>
      </c>
      <c r="N48" s="8">
        <v>3021.1801706123811</v>
      </c>
    </row>
    <row r="49" spans="1:14" x14ac:dyDescent="0.25">
      <c r="A49" s="13" t="s">
        <v>77</v>
      </c>
      <c r="B49" s="7" t="s">
        <v>75</v>
      </c>
      <c r="C49" s="7" t="s">
        <v>76</v>
      </c>
      <c r="D49" s="7" t="s">
        <v>25</v>
      </c>
      <c r="E49" s="8">
        <v>6.3</v>
      </c>
      <c r="F49" s="8">
        <v>8.1</v>
      </c>
      <c r="G49" s="8">
        <v>-13.7</v>
      </c>
      <c r="H49" s="8">
        <v>16.899999999999999</v>
      </c>
      <c r="I49" s="8">
        <v>11.2</v>
      </c>
      <c r="J49" s="8">
        <v>14.4</v>
      </c>
      <c r="K49" s="8">
        <v>8.1999999999999993</v>
      </c>
      <c r="L49" s="8">
        <v>8.1999999999999993</v>
      </c>
      <c r="M49" s="8">
        <v>6.9176036603855433</v>
      </c>
      <c r="N49" s="8">
        <v>6.1508638219005922</v>
      </c>
    </row>
    <row r="50" spans="1:14" x14ac:dyDescent="0.25">
      <c r="A50" s="13" t="s">
        <v>26</v>
      </c>
      <c r="B50" s="7" t="s">
        <v>20</v>
      </c>
      <c r="C50" s="7" t="s">
        <v>21</v>
      </c>
      <c r="D50" s="7" t="s">
        <v>27</v>
      </c>
      <c r="E50" s="8">
        <v>1336</v>
      </c>
      <c r="F50" s="8">
        <v>1383</v>
      </c>
      <c r="G50" s="8">
        <v>1206</v>
      </c>
      <c r="H50" s="8">
        <v>1342</v>
      </c>
      <c r="I50" s="8">
        <v>1413</v>
      </c>
      <c r="J50" s="8">
        <v>1544</v>
      </c>
      <c r="K50" s="8">
        <v>1704</v>
      </c>
      <c r="L50" s="8">
        <v>1865</v>
      </c>
      <c r="M50" s="8">
        <v>1989.126101181537</v>
      </c>
      <c r="N50" s="8">
        <v>2109.3862445426835</v>
      </c>
    </row>
    <row r="51" spans="1:14" x14ac:dyDescent="0.25">
      <c r="A51" s="13" t="s">
        <v>77</v>
      </c>
      <c r="B51" s="7" t="s">
        <v>75</v>
      </c>
      <c r="C51" s="7" t="s">
        <v>76</v>
      </c>
      <c r="D51" s="7" t="s">
        <v>27</v>
      </c>
      <c r="E51" s="8">
        <v>2.1</v>
      </c>
      <c r="F51" s="8">
        <v>5.2</v>
      </c>
      <c r="G51" s="8">
        <v>-12.7</v>
      </c>
      <c r="H51" s="8">
        <v>9.9</v>
      </c>
      <c r="I51" s="8">
        <v>10.1</v>
      </c>
      <c r="J51" s="8">
        <v>10.4</v>
      </c>
      <c r="K51" s="8">
        <v>11.3</v>
      </c>
      <c r="L51" s="8">
        <v>8.9</v>
      </c>
      <c r="M51" s="8">
        <v>6.6741450399034079</v>
      </c>
      <c r="N51" s="8">
        <v>6.1965386084005498</v>
      </c>
    </row>
    <row r="52" spans="1:14" x14ac:dyDescent="0.25">
      <c r="A52" s="13" t="s">
        <v>28</v>
      </c>
      <c r="B52" s="7" t="s">
        <v>20</v>
      </c>
      <c r="C52" s="7" t="s">
        <v>21</v>
      </c>
      <c r="D52" s="7" t="s">
        <v>29</v>
      </c>
      <c r="E52" s="8">
        <v>1580</v>
      </c>
      <c r="F52" s="8">
        <v>1639</v>
      </c>
      <c r="G52" s="8">
        <v>1722</v>
      </c>
      <c r="H52" s="8">
        <v>2664</v>
      </c>
      <c r="I52" s="8">
        <v>2807</v>
      </c>
      <c r="J52" s="8">
        <v>3147</v>
      </c>
      <c r="K52" s="8">
        <v>3507</v>
      </c>
      <c r="L52" s="8">
        <v>3948</v>
      </c>
      <c r="M52" s="8">
        <v>4317.0976714534481</v>
      </c>
      <c r="N52" s="8">
        <v>4670.8913056557176</v>
      </c>
    </row>
    <row r="53" spans="1:14" x14ac:dyDescent="0.25">
      <c r="A53" s="13" t="s">
        <v>77</v>
      </c>
      <c r="B53" s="7" t="s">
        <v>75</v>
      </c>
      <c r="C53" s="7" t="s">
        <v>76</v>
      </c>
      <c r="D53" s="7" t="s">
        <v>29</v>
      </c>
      <c r="E53" s="8">
        <v>6.2</v>
      </c>
      <c r="F53" s="8">
        <v>5.2</v>
      </c>
      <c r="G53" s="8">
        <v>4.7</v>
      </c>
      <c r="H53" s="8">
        <v>53</v>
      </c>
      <c r="I53" s="8">
        <v>8.6999999999999993</v>
      </c>
      <c r="J53" s="8">
        <v>12.2</v>
      </c>
      <c r="K53" s="8">
        <v>11.6</v>
      </c>
      <c r="L53" s="8">
        <v>11.8</v>
      </c>
      <c r="M53" s="8">
        <v>8.8134107254465217</v>
      </c>
      <c r="N53" s="8">
        <v>8.3396247002676276</v>
      </c>
    </row>
    <row r="54" spans="1:14" x14ac:dyDescent="0.25">
      <c r="A54" s="13" t="s">
        <v>30</v>
      </c>
      <c r="B54" s="7" t="s">
        <v>20</v>
      </c>
      <c r="C54" s="7" t="s">
        <v>21</v>
      </c>
      <c r="D54" s="7" t="s">
        <v>31</v>
      </c>
      <c r="E54" s="8" t="s">
        <v>1483</v>
      </c>
      <c r="F54" s="8" t="s">
        <v>1483</v>
      </c>
      <c r="G54" s="8" t="s">
        <v>1483</v>
      </c>
      <c r="H54" s="8" t="s">
        <v>1483</v>
      </c>
      <c r="I54" s="8">
        <v>733</v>
      </c>
      <c r="J54" s="8">
        <v>713</v>
      </c>
      <c r="K54" s="8">
        <v>707</v>
      </c>
      <c r="L54" s="8">
        <v>185</v>
      </c>
      <c r="M54" s="8">
        <v>24</v>
      </c>
      <c r="N54" s="8" t="s">
        <v>1483</v>
      </c>
    </row>
    <row r="55" spans="1:14" x14ac:dyDescent="0.25">
      <c r="A55" s="13" t="s">
        <v>77</v>
      </c>
      <c r="B55" s="7" t="s">
        <v>75</v>
      </c>
      <c r="C55" s="7" t="s">
        <v>76</v>
      </c>
      <c r="D55" s="7" t="s">
        <v>31</v>
      </c>
      <c r="E55" s="8" t="s">
        <v>1483</v>
      </c>
      <c r="F55" s="8" t="s">
        <v>1483</v>
      </c>
      <c r="G55" s="8" t="s">
        <v>1483</v>
      </c>
      <c r="H55" s="8" t="s">
        <v>1483</v>
      </c>
      <c r="I55" s="8" t="s">
        <v>1483</v>
      </c>
      <c r="J55" s="8">
        <v>-2</v>
      </c>
      <c r="K55" s="8">
        <v>-0.3</v>
      </c>
      <c r="L55" s="8">
        <v>-73.900000000000006</v>
      </c>
      <c r="M55" s="8" t="s">
        <v>1483</v>
      </c>
      <c r="N55" s="8" t="s">
        <v>1483</v>
      </c>
    </row>
    <row r="56" spans="1:14" x14ac:dyDescent="0.25">
      <c r="A56" s="13" t="s">
        <v>32</v>
      </c>
      <c r="B56" s="7" t="s">
        <v>20</v>
      </c>
      <c r="C56" s="7" t="s">
        <v>21</v>
      </c>
      <c r="D56" s="7" t="s">
        <v>33</v>
      </c>
      <c r="E56" s="8">
        <v>374</v>
      </c>
      <c r="F56" s="8">
        <v>415</v>
      </c>
      <c r="G56" s="8">
        <v>464</v>
      </c>
      <c r="H56" s="8">
        <v>549</v>
      </c>
      <c r="I56" s="8">
        <v>606</v>
      </c>
      <c r="J56" s="8">
        <v>658</v>
      </c>
      <c r="K56" s="8">
        <v>712</v>
      </c>
      <c r="L56" s="8">
        <v>815</v>
      </c>
      <c r="M56" s="8">
        <v>872.60132232936553</v>
      </c>
      <c r="N56" s="8">
        <v>937.52089965711741</v>
      </c>
    </row>
    <row r="57" spans="1:14" x14ac:dyDescent="0.25">
      <c r="A57" s="13" t="s">
        <v>77</v>
      </c>
      <c r="B57" s="7" t="s">
        <v>75</v>
      </c>
      <c r="C57" s="7" t="s">
        <v>76</v>
      </c>
      <c r="D57" s="7" t="s">
        <v>33</v>
      </c>
      <c r="E57" s="8">
        <v>11</v>
      </c>
      <c r="F57" s="8">
        <v>12</v>
      </c>
      <c r="G57" s="8">
        <v>11.4</v>
      </c>
      <c r="H57" s="8">
        <v>18</v>
      </c>
      <c r="I57" s="8">
        <v>-10.3</v>
      </c>
      <c r="J57" s="8">
        <v>9.5</v>
      </c>
      <c r="K57" s="8">
        <v>9.6</v>
      </c>
      <c r="L57" s="8">
        <v>14</v>
      </c>
      <c r="M57" s="8">
        <v>8.2378765926082167</v>
      </c>
      <c r="N57" s="8">
        <v>7.8160894838053876</v>
      </c>
    </row>
    <row r="58" spans="1:14" x14ac:dyDescent="0.25">
      <c r="A58" s="13" t="s">
        <v>17</v>
      </c>
      <c r="B58" s="7"/>
      <c r="C58" s="7"/>
      <c r="D58" s="7"/>
      <c r="E58" s="8"/>
      <c r="F58" s="8"/>
      <c r="G58" s="8"/>
      <c r="H58" s="8"/>
      <c r="I58" s="8"/>
      <c r="J58" s="8"/>
      <c r="K58" s="8"/>
      <c r="L58" s="8"/>
      <c r="M58" s="8"/>
      <c r="N58" s="8"/>
    </row>
    <row r="59" spans="1:14" x14ac:dyDescent="0.25">
      <c r="A59" s="13" t="s">
        <v>34</v>
      </c>
      <c r="B59" s="7"/>
      <c r="C59" s="7"/>
      <c r="D59" s="7"/>
      <c r="E59" s="8"/>
      <c r="F59" s="8"/>
      <c r="G59" s="8"/>
      <c r="H59" s="8"/>
      <c r="I59" s="8"/>
      <c r="J59" s="8"/>
      <c r="K59" s="8"/>
      <c r="L59" s="8"/>
      <c r="M59" s="8"/>
      <c r="N59" s="8"/>
    </row>
    <row r="60" spans="1:14" x14ac:dyDescent="0.25">
      <c r="A60" s="13" t="s">
        <v>19</v>
      </c>
      <c r="B60" s="7" t="s">
        <v>20</v>
      </c>
      <c r="C60" s="7" t="s">
        <v>21</v>
      </c>
      <c r="D60" s="7" t="s">
        <v>35</v>
      </c>
      <c r="E60" s="8" t="s">
        <v>1483</v>
      </c>
      <c r="F60" s="8">
        <v>8475</v>
      </c>
      <c r="G60" s="8">
        <v>8345</v>
      </c>
      <c r="H60" s="8">
        <v>9538</v>
      </c>
      <c r="I60" s="8">
        <v>10893</v>
      </c>
      <c r="J60" s="8">
        <v>12163</v>
      </c>
      <c r="K60" s="8">
        <v>13518</v>
      </c>
      <c r="L60" s="8">
        <v>15647</v>
      </c>
      <c r="M60" s="8">
        <v>17280.119747024371</v>
      </c>
      <c r="N60" s="8">
        <v>18817.611747826377</v>
      </c>
    </row>
    <row r="61" spans="1:14" x14ac:dyDescent="0.25">
      <c r="A61" s="13" t="s">
        <v>74</v>
      </c>
      <c r="B61" s="7" t="s">
        <v>75</v>
      </c>
      <c r="C61" s="7" t="s">
        <v>76</v>
      </c>
      <c r="D61" s="7" t="s">
        <v>35</v>
      </c>
      <c r="E61" s="8" t="s">
        <v>1483</v>
      </c>
      <c r="F61" s="8" t="s">
        <v>1483</v>
      </c>
      <c r="G61" s="8">
        <v>-1.5</v>
      </c>
      <c r="H61" s="8">
        <v>13.3</v>
      </c>
      <c r="I61" s="8">
        <v>14.1</v>
      </c>
      <c r="J61" s="8">
        <v>12.2</v>
      </c>
      <c r="K61" s="8">
        <v>11.6</v>
      </c>
      <c r="L61" s="8">
        <v>15.4</v>
      </c>
      <c r="M61" s="8">
        <v>10.372363516435099</v>
      </c>
      <c r="N61" s="8">
        <v>8.829846169739751</v>
      </c>
    </row>
    <row r="62" spans="1:14" x14ac:dyDescent="0.25">
      <c r="A62" s="13" t="s">
        <v>23</v>
      </c>
      <c r="B62" s="7" t="s">
        <v>15</v>
      </c>
      <c r="C62" s="7" t="s">
        <v>16</v>
      </c>
      <c r="D62" s="7" t="s">
        <v>35</v>
      </c>
      <c r="E62" s="8" t="s">
        <v>1483</v>
      </c>
      <c r="F62" s="8" t="s">
        <v>1483</v>
      </c>
      <c r="G62" s="8" t="s">
        <v>1483</v>
      </c>
      <c r="H62" s="8">
        <v>13.1</v>
      </c>
      <c r="I62" s="8">
        <v>11.8</v>
      </c>
      <c r="J62" s="8">
        <v>11.8</v>
      </c>
      <c r="K62" s="8">
        <v>11.2</v>
      </c>
      <c r="L62" s="8">
        <v>10.7</v>
      </c>
      <c r="M62" s="8">
        <v>8.9022669604111702</v>
      </c>
      <c r="N62" s="8">
        <v>9.1432523144387527</v>
      </c>
    </row>
    <row r="63" spans="1:14" x14ac:dyDescent="0.25">
      <c r="A63" s="13" t="s">
        <v>36</v>
      </c>
      <c r="B63" s="7" t="s">
        <v>20</v>
      </c>
      <c r="C63" s="7" t="s">
        <v>21</v>
      </c>
      <c r="D63" s="7" t="s">
        <v>37</v>
      </c>
      <c r="E63" s="8">
        <v>1822</v>
      </c>
      <c r="F63" s="8">
        <v>1959</v>
      </c>
      <c r="G63" s="8">
        <v>1863</v>
      </c>
      <c r="H63" s="8">
        <v>2111</v>
      </c>
      <c r="I63" s="8">
        <v>2245</v>
      </c>
      <c r="J63" s="8">
        <v>2534</v>
      </c>
      <c r="K63" s="8">
        <v>2834</v>
      </c>
      <c r="L63" s="8">
        <v>3183</v>
      </c>
      <c r="M63" s="8">
        <v>3496.0530493109168</v>
      </c>
      <c r="N63" s="8">
        <v>3793.149441690261</v>
      </c>
    </row>
    <row r="64" spans="1:14" x14ac:dyDescent="0.25">
      <c r="A64" s="13" t="s">
        <v>77</v>
      </c>
      <c r="B64" s="7" t="s">
        <v>75</v>
      </c>
      <c r="C64" s="7" t="s">
        <v>76</v>
      </c>
      <c r="D64" s="7" t="s">
        <v>37</v>
      </c>
      <c r="E64" s="8">
        <v>8.4</v>
      </c>
      <c r="F64" s="8">
        <v>13.1</v>
      </c>
      <c r="G64" s="8">
        <v>-5</v>
      </c>
      <c r="H64" s="8">
        <v>12.5</v>
      </c>
      <c r="I64" s="8">
        <v>10.4</v>
      </c>
      <c r="J64" s="8">
        <v>13</v>
      </c>
      <c r="K64" s="8">
        <v>12.1</v>
      </c>
      <c r="L64" s="8">
        <v>11.9</v>
      </c>
      <c r="M64" s="8">
        <v>9.5434232983700831</v>
      </c>
      <c r="N64" s="8">
        <v>8.5851083948874436</v>
      </c>
    </row>
    <row r="65" spans="1:14" x14ac:dyDescent="0.25">
      <c r="A65" s="13" t="s">
        <v>38</v>
      </c>
      <c r="B65" s="7" t="s">
        <v>20</v>
      </c>
      <c r="C65" s="7" t="s">
        <v>21</v>
      </c>
      <c r="D65" s="7" t="s">
        <v>39</v>
      </c>
      <c r="E65" s="8">
        <v>1846</v>
      </c>
      <c r="F65" s="8">
        <v>1983</v>
      </c>
      <c r="G65" s="8">
        <v>1763</v>
      </c>
      <c r="H65" s="8">
        <v>2141</v>
      </c>
      <c r="I65" s="8">
        <v>2759</v>
      </c>
      <c r="J65" s="8">
        <v>3068</v>
      </c>
      <c r="K65" s="8">
        <v>3389</v>
      </c>
      <c r="L65" s="8">
        <v>3807</v>
      </c>
      <c r="M65" s="8">
        <v>4150.3640071453901</v>
      </c>
      <c r="N65" s="8">
        <v>4500.9321079832916</v>
      </c>
    </row>
    <row r="66" spans="1:14" x14ac:dyDescent="0.25">
      <c r="A66" s="13" t="s">
        <v>77</v>
      </c>
      <c r="B66" s="7" t="s">
        <v>75</v>
      </c>
      <c r="C66" s="7" t="s">
        <v>76</v>
      </c>
      <c r="D66" s="7" t="s">
        <v>39</v>
      </c>
      <c r="E66" s="8">
        <v>11.9</v>
      </c>
      <c r="F66" s="8">
        <v>8.6</v>
      </c>
      <c r="G66" s="8">
        <v>-11</v>
      </c>
      <c r="H66" s="8">
        <v>20.8</v>
      </c>
      <c r="I66" s="8">
        <v>15.9</v>
      </c>
      <c r="J66" s="8">
        <v>11.7</v>
      </c>
      <c r="K66" s="8">
        <v>11</v>
      </c>
      <c r="L66" s="8">
        <v>12.3</v>
      </c>
      <c r="M66" s="8">
        <v>9.3885850624002494</v>
      </c>
      <c r="N66" s="8">
        <v>8.5840937986196657</v>
      </c>
    </row>
    <row r="67" spans="1:14" x14ac:dyDescent="0.25">
      <c r="A67" s="13" t="s">
        <v>40</v>
      </c>
      <c r="B67" s="7" t="s">
        <v>20</v>
      </c>
      <c r="C67" s="7" t="s">
        <v>21</v>
      </c>
      <c r="D67" s="7" t="s">
        <v>41</v>
      </c>
      <c r="E67" s="8">
        <v>2118</v>
      </c>
      <c r="F67" s="8">
        <v>2264</v>
      </c>
      <c r="G67" s="8">
        <v>2524</v>
      </c>
      <c r="H67" s="8">
        <v>2607</v>
      </c>
      <c r="I67" s="8">
        <v>3031</v>
      </c>
      <c r="J67" s="8">
        <v>3459</v>
      </c>
      <c r="K67" s="8">
        <v>3852</v>
      </c>
      <c r="L67" s="8">
        <v>4204</v>
      </c>
      <c r="M67" s="8">
        <v>4604.4724726681407</v>
      </c>
      <c r="N67" s="8">
        <v>5005.0767999361042</v>
      </c>
    </row>
    <row r="68" spans="1:14" x14ac:dyDescent="0.25">
      <c r="A68" s="13" t="s">
        <v>77</v>
      </c>
      <c r="B68" s="7" t="s">
        <v>75</v>
      </c>
      <c r="C68" s="7" t="s">
        <v>76</v>
      </c>
      <c r="D68" s="7" t="s">
        <v>41</v>
      </c>
      <c r="E68" s="8">
        <v>7.5</v>
      </c>
      <c r="F68" s="8">
        <v>8.1</v>
      </c>
      <c r="G68" s="8">
        <v>11.8</v>
      </c>
      <c r="H68" s="8">
        <v>2.2000000000000002</v>
      </c>
      <c r="I68" s="8">
        <v>18.600000000000001</v>
      </c>
      <c r="J68" s="8">
        <v>14.4</v>
      </c>
      <c r="K68" s="8">
        <v>11.7</v>
      </c>
      <c r="L68" s="8">
        <v>8.8000000000000007</v>
      </c>
      <c r="M68" s="8">
        <v>9.3784614746683719</v>
      </c>
      <c r="N68" s="8">
        <v>8.7949420415654629</v>
      </c>
    </row>
    <row r="69" spans="1:14" x14ac:dyDescent="0.25">
      <c r="A69" s="13" t="s">
        <v>42</v>
      </c>
      <c r="B69" s="7" t="s">
        <v>20</v>
      </c>
      <c r="C69" s="7" t="s">
        <v>21</v>
      </c>
      <c r="D69" s="7" t="s">
        <v>43</v>
      </c>
      <c r="E69" s="8" t="s">
        <v>1483</v>
      </c>
      <c r="F69" s="8">
        <v>924</v>
      </c>
      <c r="G69" s="8">
        <v>973</v>
      </c>
      <c r="H69" s="8">
        <v>1188</v>
      </c>
      <c r="I69" s="8">
        <v>1200</v>
      </c>
      <c r="J69" s="8">
        <v>1226</v>
      </c>
      <c r="K69" s="8">
        <v>1307</v>
      </c>
      <c r="L69" s="8">
        <v>1968</v>
      </c>
      <c r="M69" s="8">
        <v>2273.4045212153296</v>
      </c>
      <c r="N69" s="8">
        <v>2502.0555585108568</v>
      </c>
    </row>
    <row r="70" spans="1:14" x14ac:dyDescent="0.25">
      <c r="A70" s="13" t="s">
        <v>77</v>
      </c>
      <c r="B70" s="7" t="s">
        <v>75</v>
      </c>
      <c r="C70" s="7" t="s">
        <v>76</v>
      </c>
      <c r="D70" s="7" t="s">
        <v>43</v>
      </c>
      <c r="E70" s="8" t="s">
        <v>1483</v>
      </c>
      <c r="F70" s="8" t="s">
        <v>1483</v>
      </c>
      <c r="G70" s="8">
        <v>4.9000000000000004</v>
      </c>
      <c r="H70" s="8">
        <v>19.5</v>
      </c>
      <c r="I70" s="8">
        <v>7.2</v>
      </c>
      <c r="J70" s="8">
        <v>4</v>
      </c>
      <c r="K70" s="8">
        <v>8.1999999999999993</v>
      </c>
      <c r="L70" s="8">
        <v>50</v>
      </c>
      <c r="M70" s="8">
        <v>13.881297243838876</v>
      </c>
      <c r="N70" s="8">
        <v>8.894109196263166</v>
      </c>
    </row>
    <row r="71" spans="1:14" x14ac:dyDescent="0.25">
      <c r="A71" s="13" t="s">
        <v>44</v>
      </c>
      <c r="B71" s="7" t="s">
        <v>20</v>
      </c>
      <c r="C71" s="7" t="s">
        <v>21</v>
      </c>
      <c r="D71" s="7" t="s">
        <v>45</v>
      </c>
      <c r="E71" s="8" t="s">
        <v>1483</v>
      </c>
      <c r="F71" s="8">
        <v>1059</v>
      </c>
      <c r="G71" s="8">
        <v>972</v>
      </c>
      <c r="H71" s="8">
        <v>1214</v>
      </c>
      <c r="I71" s="8">
        <v>1658</v>
      </c>
      <c r="J71" s="8">
        <v>1876</v>
      </c>
      <c r="K71" s="8">
        <v>2136</v>
      </c>
      <c r="L71" s="8">
        <v>2485</v>
      </c>
      <c r="M71" s="8">
        <v>2762.5908851631016</v>
      </c>
      <c r="N71" s="8">
        <v>3027.7050934373456</v>
      </c>
    </row>
    <row r="72" spans="1:14" x14ac:dyDescent="0.25">
      <c r="A72" s="13" t="s">
        <v>77</v>
      </c>
      <c r="B72" s="7" t="s">
        <v>75</v>
      </c>
      <c r="C72" s="7" t="s">
        <v>76</v>
      </c>
      <c r="D72" s="7" t="s">
        <v>45</v>
      </c>
      <c r="E72" s="8" t="s">
        <v>1483</v>
      </c>
      <c r="F72" s="8" t="s">
        <v>1483</v>
      </c>
      <c r="G72" s="8">
        <v>-8.3000000000000007</v>
      </c>
      <c r="H72" s="8">
        <v>24.3</v>
      </c>
      <c r="I72" s="8">
        <v>15.4</v>
      </c>
      <c r="J72" s="8">
        <v>13.4</v>
      </c>
      <c r="K72" s="8">
        <v>14.1</v>
      </c>
      <c r="L72" s="8">
        <v>15.9</v>
      </c>
      <c r="M72" s="8">
        <v>10.658548227900054</v>
      </c>
      <c r="N72" s="8" t="s">
        <v>1484</v>
      </c>
    </row>
    <row r="73" spans="1:14" x14ac:dyDescent="0.25">
      <c r="A73" s="13" t="s">
        <v>17</v>
      </c>
      <c r="B73" s="7"/>
      <c r="C73" s="7"/>
      <c r="D73" s="7"/>
      <c r="E73" s="8"/>
      <c r="F73" s="8"/>
      <c r="G73" s="8"/>
      <c r="H73" s="8"/>
      <c r="I73" s="8"/>
      <c r="J73" s="8"/>
      <c r="K73" s="8"/>
      <c r="L73" s="8"/>
      <c r="M73" s="8"/>
      <c r="N73" s="8"/>
    </row>
    <row r="74" spans="1:14" x14ac:dyDescent="0.25">
      <c r="A74" s="13" t="s">
        <v>78</v>
      </c>
      <c r="B74" s="7"/>
      <c r="C74" s="7"/>
      <c r="D74" s="7"/>
      <c r="E74" s="8"/>
      <c r="F74" s="8"/>
      <c r="G74" s="8"/>
      <c r="H74" s="8"/>
      <c r="I74" s="8"/>
      <c r="J74" s="8"/>
      <c r="K74" s="8"/>
      <c r="L74" s="8"/>
      <c r="M74" s="8"/>
      <c r="N74" s="8"/>
    </row>
    <row r="75" spans="1:14" x14ac:dyDescent="0.25">
      <c r="A75" s="13" t="s">
        <v>19</v>
      </c>
      <c r="B75" s="7"/>
      <c r="C75" s="7"/>
      <c r="D75" s="7"/>
      <c r="E75" s="8"/>
      <c r="F75" s="8"/>
      <c r="G75" s="8"/>
      <c r="H75" s="8"/>
      <c r="I75" s="8"/>
      <c r="J75" s="8"/>
      <c r="K75" s="8"/>
      <c r="L75" s="8"/>
      <c r="M75" s="8"/>
      <c r="N75" s="8"/>
    </row>
    <row r="76" spans="1:14" x14ac:dyDescent="0.25">
      <c r="A76" s="13" t="s">
        <v>79</v>
      </c>
      <c r="B76" s="7" t="s">
        <v>20</v>
      </c>
      <c r="C76" s="7" t="s">
        <v>21</v>
      </c>
      <c r="D76" s="7" t="s">
        <v>80</v>
      </c>
      <c r="E76" s="8">
        <v>828</v>
      </c>
      <c r="F76" s="8">
        <v>1157</v>
      </c>
      <c r="G76" s="8">
        <v>1047</v>
      </c>
      <c r="H76" s="8">
        <v>1167</v>
      </c>
      <c r="I76" s="8">
        <v>1146</v>
      </c>
      <c r="J76" s="8">
        <v>1189</v>
      </c>
      <c r="K76" s="8">
        <v>1097</v>
      </c>
      <c r="L76" s="8" t="s">
        <v>1483</v>
      </c>
      <c r="M76" s="8">
        <v>280.16786860224227</v>
      </c>
      <c r="N76" s="8">
        <v>548.83957905654279</v>
      </c>
    </row>
    <row r="77" spans="1:14" x14ac:dyDescent="0.25">
      <c r="A77" s="13" t="s">
        <v>81</v>
      </c>
      <c r="B77" s="7" t="s">
        <v>75</v>
      </c>
      <c r="C77" s="7" t="s">
        <v>76</v>
      </c>
      <c r="D77" s="7" t="s">
        <v>80</v>
      </c>
      <c r="E77" s="8">
        <v>9.9</v>
      </c>
      <c r="F77" s="8">
        <v>32.299999999999997</v>
      </c>
      <c r="G77" s="8">
        <v>-9.6</v>
      </c>
      <c r="H77" s="8">
        <v>10.5</v>
      </c>
      <c r="I77" s="8">
        <v>1.1000000000000001</v>
      </c>
      <c r="J77" s="8">
        <v>4</v>
      </c>
      <c r="K77" s="8" t="s">
        <v>1483</v>
      </c>
      <c r="L77" s="8" t="s">
        <v>1483</v>
      </c>
      <c r="M77" s="8">
        <v>-99.994770136808867</v>
      </c>
      <c r="N77" s="8" t="s">
        <v>1483</v>
      </c>
    </row>
    <row r="78" spans="1:14" x14ac:dyDescent="0.25">
      <c r="A78" s="13" t="s">
        <v>17</v>
      </c>
      <c r="B78" s="7"/>
      <c r="C78" s="7"/>
      <c r="D78" s="7"/>
      <c r="E78" s="8"/>
      <c r="F78" s="8"/>
      <c r="G78" s="8"/>
      <c r="H78" s="8"/>
      <c r="I78" s="8"/>
      <c r="J78" s="8"/>
      <c r="K78" s="8"/>
      <c r="L78" s="8"/>
      <c r="M78" s="8"/>
      <c r="N78" s="8"/>
    </row>
    <row r="79" spans="1:14" x14ac:dyDescent="0.25">
      <c r="A79" s="13" t="s">
        <v>82</v>
      </c>
      <c r="B79" s="7"/>
      <c r="C79" s="7"/>
      <c r="D79" s="7"/>
      <c r="E79" s="8"/>
      <c r="F79" s="8"/>
      <c r="G79" s="8"/>
      <c r="H79" s="8"/>
      <c r="I79" s="8"/>
      <c r="J79" s="8"/>
      <c r="K79" s="8"/>
      <c r="L79" s="8"/>
      <c r="M79" s="8"/>
      <c r="N79" s="8"/>
    </row>
    <row r="80" spans="1:14" x14ac:dyDescent="0.25">
      <c r="A80" s="13" t="s">
        <v>83</v>
      </c>
      <c r="B80" s="7" t="s">
        <v>20</v>
      </c>
      <c r="C80" s="7" t="s">
        <v>21</v>
      </c>
      <c r="D80" s="7" t="s">
        <v>84</v>
      </c>
      <c r="E80" s="8">
        <v>9848</v>
      </c>
      <c r="F80" s="8">
        <v>10957</v>
      </c>
      <c r="G80" s="8">
        <v>10455</v>
      </c>
      <c r="H80" s="8">
        <v>12321</v>
      </c>
      <c r="I80" s="8">
        <v>13638</v>
      </c>
      <c r="J80" s="8">
        <v>15257</v>
      </c>
      <c r="K80" s="8">
        <v>16943</v>
      </c>
      <c r="L80" s="8">
        <v>19006</v>
      </c>
      <c r="M80" s="8">
        <v>20613.93514846226</v>
      </c>
      <c r="N80" s="8">
        <v>22288.105415286467</v>
      </c>
    </row>
    <row r="81" spans="1:14" x14ac:dyDescent="0.25">
      <c r="A81" s="13" t="s">
        <v>85</v>
      </c>
      <c r="B81" s="7" t="s">
        <v>20</v>
      </c>
      <c r="C81" s="7" t="s">
        <v>21</v>
      </c>
      <c r="D81" s="7" t="s">
        <v>86</v>
      </c>
      <c r="E81" s="8" t="s">
        <v>1483</v>
      </c>
      <c r="F81" s="8">
        <v>4487</v>
      </c>
      <c r="G81" s="8">
        <v>4237</v>
      </c>
      <c r="H81" s="8">
        <v>5295</v>
      </c>
      <c r="I81" s="8">
        <v>5390</v>
      </c>
      <c r="J81" s="8">
        <v>5929</v>
      </c>
      <c r="K81" s="8">
        <v>6426</v>
      </c>
      <c r="L81" s="8">
        <v>6701</v>
      </c>
      <c r="M81" s="8">
        <v>7113.4640663425753</v>
      </c>
      <c r="N81" s="8">
        <v>7625.4874125770366</v>
      </c>
    </row>
    <row r="82" spans="1:14" x14ac:dyDescent="0.25">
      <c r="A82" s="13" t="s">
        <v>87</v>
      </c>
      <c r="B82" s="7" t="s">
        <v>20</v>
      </c>
      <c r="C82" s="7" t="s">
        <v>21</v>
      </c>
      <c r="D82" s="7" t="s">
        <v>88</v>
      </c>
      <c r="E82" s="8">
        <v>1244</v>
      </c>
      <c r="F82" s="8">
        <v>1347</v>
      </c>
      <c r="G82" s="8">
        <v>1170</v>
      </c>
      <c r="H82" s="8">
        <v>1351</v>
      </c>
      <c r="I82" s="8">
        <v>1493</v>
      </c>
      <c r="J82" s="8">
        <v>1676</v>
      </c>
      <c r="K82" s="8">
        <v>1788</v>
      </c>
      <c r="L82" s="8">
        <v>1924</v>
      </c>
      <c r="M82" s="8">
        <v>2035.2308767422112</v>
      </c>
      <c r="N82" s="8">
        <v>2152.7060419814075</v>
      </c>
    </row>
    <row r="83" spans="1:14" x14ac:dyDescent="0.25">
      <c r="A83" s="13" t="s">
        <v>89</v>
      </c>
      <c r="B83" s="7" t="s">
        <v>20</v>
      </c>
      <c r="C83" s="7" t="s">
        <v>21</v>
      </c>
      <c r="D83" s="7" t="s">
        <v>90</v>
      </c>
      <c r="E83" s="8">
        <v>838</v>
      </c>
      <c r="F83" s="8">
        <v>882</v>
      </c>
      <c r="G83" s="8">
        <v>777</v>
      </c>
      <c r="H83" s="8">
        <v>822</v>
      </c>
      <c r="I83" s="8">
        <v>896</v>
      </c>
      <c r="J83" s="8">
        <v>988</v>
      </c>
      <c r="K83" s="8">
        <v>1059</v>
      </c>
      <c r="L83" s="8">
        <v>1137</v>
      </c>
      <c r="M83" s="8">
        <v>1212.802767588443</v>
      </c>
      <c r="N83" s="8">
        <v>1284.335448323294</v>
      </c>
    </row>
    <row r="84" spans="1:14" x14ac:dyDescent="0.25">
      <c r="A84" s="13" t="s">
        <v>91</v>
      </c>
      <c r="B84" s="7" t="s">
        <v>20</v>
      </c>
      <c r="C84" s="7" t="s">
        <v>21</v>
      </c>
      <c r="D84" s="7" t="s">
        <v>92</v>
      </c>
      <c r="E84" s="8">
        <v>1001</v>
      </c>
      <c r="F84" s="8">
        <v>1051</v>
      </c>
      <c r="G84" s="8">
        <v>1139</v>
      </c>
      <c r="H84" s="8">
        <v>1866</v>
      </c>
      <c r="I84" s="8">
        <v>2035</v>
      </c>
      <c r="J84" s="8">
        <v>2297</v>
      </c>
      <c r="K84" s="8">
        <v>2586</v>
      </c>
      <c r="L84" s="8">
        <v>2926</v>
      </c>
      <c r="M84" s="8">
        <v>3191.2926248189892</v>
      </c>
      <c r="N84" s="8">
        <v>3436.4614693174144</v>
      </c>
    </row>
    <row r="85" spans="1:14" x14ac:dyDescent="0.25">
      <c r="A85" s="13" t="s">
        <v>93</v>
      </c>
      <c r="B85" s="7" t="s">
        <v>20</v>
      </c>
      <c r="C85" s="7" t="s">
        <v>21</v>
      </c>
      <c r="D85" s="7" t="s">
        <v>94</v>
      </c>
      <c r="E85" s="8" t="s">
        <v>1483</v>
      </c>
      <c r="F85" s="8" t="s">
        <v>1483</v>
      </c>
      <c r="G85" s="8" t="s">
        <v>1483</v>
      </c>
      <c r="H85" s="8" t="s">
        <v>1483</v>
      </c>
      <c r="I85" s="8">
        <v>511</v>
      </c>
      <c r="J85" s="8">
        <v>500</v>
      </c>
      <c r="K85" s="8">
        <v>489</v>
      </c>
      <c r="L85" s="8">
        <v>118</v>
      </c>
      <c r="M85" s="8" t="s">
        <v>1483</v>
      </c>
      <c r="N85" s="8" t="s">
        <v>1483</v>
      </c>
    </row>
    <row r="86" spans="1:14" x14ac:dyDescent="0.25">
      <c r="A86" s="13" t="s">
        <v>95</v>
      </c>
      <c r="B86" s="7" t="s">
        <v>96</v>
      </c>
      <c r="C86" s="7" t="s">
        <v>97</v>
      </c>
      <c r="D86" s="7" t="s">
        <v>94</v>
      </c>
      <c r="E86" s="8" t="s">
        <v>1483</v>
      </c>
      <c r="F86" s="8" t="s">
        <v>1483</v>
      </c>
      <c r="G86" s="8" t="s">
        <v>1483</v>
      </c>
      <c r="H86" s="8" t="s">
        <v>1483</v>
      </c>
      <c r="I86" s="8" t="s">
        <v>1483</v>
      </c>
      <c r="J86" s="8">
        <v>-2.2000000000000002</v>
      </c>
      <c r="K86" s="8">
        <v>-2.1</v>
      </c>
      <c r="L86" s="8">
        <v>-76</v>
      </c>
      <c r="M86" s="8" t="s">
        <v>1483</v>
      </c>
      <c r="N86" s="8" t="s">
        <v>1483</v>
      </c>
    </row>
    <row r="87" spans="1:14" x14ac:dyDescent="0.25">
      <c r="A87" s="13" t="s">
        <v>98</v>
      </c>
      <c r="B87" s="7" t="s">
        <v>20</v>
      </c>
      <c r="C87" s="7" t="s">
        <v>21</v>
      </c>
      <c r="D87" s="7" t="s">
        <v>99</v>
      </c>
      <c r="E87" s="8" t="s">
        <v>1483</v>
      </c>
      <c r="F87" s="8">
        <v>334</v>
      </c>
      <c r="G87" s="8">
        <v>387</v>
      </c>
      <c r="H87" s="8">
        <v>425</v>
      </c>
      <c r="I87" s="8">
        <v>455</v>
      </c>
      <c r="J87" s="8">
        <v>468</v>
      </c>
      <c r="K87" s="8">
        <v>504</v>
      </c>
      <c r="L87" s="8">
        <v>596</v>
      </c>
      <c r="M87" s="8">
        <v>587.60178106098363</v>
      </c>
      <c r="N87" s="8">
        <v>626.90072673520956</v>
      </c>
    </row>
    <row r="88" spans="1:14" x14ac:dyDescent="0.25">
      <c r="A88" s="13" t="s">
        <v>100</v>
      </c>
      <c r="B88" s="7" t="s">
        <v>20</v>
      </c>
      <c r="C88" s="7" t="s">
        <v>21</v>
      </c>
      <c r="D88" s="7" t="s">
        <v>101</v>
      </c>
      <c r="E88" s="8" t="s">
        <v>1483</v>
      </c>
      <c r="F88" s="8">
        <v>6470</v>
      </c>
      <c r="G88" s="8">
        <v>6218</v>
      </c>
      <c r="H88" s="8">
        <v>7026</v>
      </c>
      <c r="I88" s="8">
        <v>8248</v>
      </c>
      <c r="J88" s="8">
        <v>9328</v>
      </c>
      <c r="K88" s="8">
        <v>10517</v>
      </c>
      <c r="L88" s="8">
        <v>12305</v>
      </c>
      <c r="M88" s="8">
        <v>13589.637968629568</v>
      </c>
      <c r="N88" s="8">
        <v>14860.54689030316</v>
      </c>
    </row>
    <row r="89" spans="1:14" x14ac:dyDescent="0.25">
      <c r="A89" s="13" t="s">
        <v>102</v>
      </c>
      <c r="B89" s="7" t="s">
        <v>20</v>
      </c>
      <c r="C89" s="7" t="s">
        <v>21</v>
      </c>
      <c r="D89" s="7" t="s">
        <v>103</v>
      </c>
      <c r="E89" s="8">
        <v>1424</v>
      </c>
      <c r="F89" s="8">
        <v>1542</v>
      </c>
      <c r="G89" s="8">
        <v>1471</v>
      </c>
      <c r="H89" s="8">
        <v>1637</v>
      </c>
      <c r="I89" s="8">
        <v>1776</v>
      </c>
      <c r="J89" s="8">
        <v>2016</v>
      </c>
      <c r="K89" s="8">
        <v>2267</v>
      </c>
      <c r="L89" s="8">
        <v>2562</v>
      </c>
      <c r="M89" s="8">
        <v>2790.1248697564238</v>
      </c>
      <c r="N89" s="8">
        <v>3038.2061683121642</v>
      </c>
    </row>
    <row r="90" spans="1:14" x14ac:dyDescent="0.25">
      <c r="A90" s="13" t="s">
        <v>104</v>
      </c>
      <c r="B90" s="7" t="s">
        <v>20</v>
      </c>
      <c r="C90" s="7" t="s">
        <v>21</v>
      </c>
      <c r="D90" s="7" t="s">
        <v>105</v>
      </c>
      <c r="E90" s="8">
        <v>1432</v>
      </c>
      <c r="F90" s="8">
        <v>1577</v>
      </c>
      <c r="G90" s="8">
        <v>1408</v>
      </c>
      <c r="H90" s="8">
        <v>1670</v>
      </c>
      <c r="I90" s="8">
        <v>2245</v>
      </c>
      <c r="J90" s="8">
        <v>2513</v>
      </c>
      <c r="K90" s="8">
        <v>2792</v>
      </c>
      <c r="L90" s="8">
        <v>3133</v>
      </c>
      <c r="M90" s="8">
        <v>3418.4593638919891</v>
      </c>
      <c r="N90" s="8">
        <v>3712.273152230508</v>
      </c>
    </row>
    <row r="91" spans="1:14" x14ac:dyDescent="0.25">
      <c r="A91" s="13" t="s">
        <v>106</v>
      </c>
      <c r="B91" s="7" t="s">
        <v>20</v>
      </c>
      <c r="C91" s="7" t="s">
        <v>21</v>
      </c>
      <c r="D91" s="7" t="s">
        <v>107</v>
      </c>
      <c r="E91" s="8">
        <v>1630</v>
      </c>
      <c r="F91" s="8">
        <v>1787</v>
      </c>
      <c r="G91" s="8">
        <v>1910</v>
      </c>
      <c r="H91" s="8">
        <v>2007</v>
      </c>
      <c r="I91" s="8">
        <v>2422</v>
      </c>
      <c r="J91" s="8">
        <v>2785</v>
      </c>
      <c r="K91" s="8">
        <v>3191</v>
      </c>
      <c r="L91" s="8">
        <v>3510</v>
      </c>
      <c r="M91" s="8">
        <v>3803.4431927619157</v>
      </c>
      <c r="N91" s="8">
        <v>4115.9286271877118</v>
      </c>
    </row>
    <row r="92" spans="1:14" x14ac:dyDescent="0.25">
      <c r="A92" s="13" t="s">
        <v>108</v>
      </c>
      <c r="B92" s="7" t="s">
        <v>20</v>
      </c>
      <c r="C92" s="7" t="s">
        <v>21</v>
      </c>
      <c r="D92" s="7" t="s">
        <v>109</v>
      </c>
      <c r="E92" s="8" t="s">
        <v>1483</v>
      </c>
      <c r="F92" s="8">
        <v>391</v>
      </c>
      <c r="G92" s="8">
        <v>381</v>
      </c>
      <c r="H92" s="8">
        <v>451</v>
      </c>
      <c r="I92" s="8">
        <v>446</v>
      </c>
      <c r="J92" s="8">
        <v>483</v>
      </c>
      <c r="K92" s="8">
        <v>506</v>
      </c>
      <c r="L92" s="8" t="s">
        <v>1483</v>
      </c>
      <c r="M92" s="8">
        <v>1234.1614677863247</v>
      </c>
      <c r="N92" s="8">
        <v>1359.0648455435305</v>
      </c>
    </row>
    <row r="93" spans="1:14" x14ac:dyDescent="0.25">
      <c r="A93" s="13" t="s">
        <v>110</v>
      </c>
      <c r="B93" s="7" t="s">
        <v>20</v>
      </c>
      <c r="C93" s="7" t="s">
        <v>21</v>
      </c>
      <c r="D93" s="7" t="s">
        <v>111</v>
      </c>
      <c r="E93" s="8" t="s">
        <v>1483</v>
      </c>
      <c r="F93" s="8">
        <v>890</v>
      </c>
      <c r="G93" s="8">
        <v>801</v>
      </c>
      <c r="H93" s="8">
        <v>988</v>
      </c>
      <c r="I93" s="8">
        <v>1359</v>
      </c>
      <c r="J93" s="8">
        <v>1531</v>
      </c>
      <c r="K93" s="8">
        <v>1761</v>
      </c>
      <c r="L93" s="8">
        <v>2052</v>
      </c>
      <c r="M93" s="8">
        <v>2220.8862167024995</v>
      </c>
      <c r="N93" s="8">
        <v>2431.6797640807254</v>
      </c>
    </row>
    <row r="94" spans="1:14" x14ac:dyDescent="0.25">
      <c r="A94" s="13" t="s">
        <v>17</v>
      </c>
      <c r="B94" s="7"/>
      <c r="C94" s="7"/>
      <c r="D94" s="7"/>
      <c r="E94" s="8"/>
      <c r="F94" s="8"/>
      <c r="G94" s="8"/>
      <c r="H94" s="8"/>
      <c r="I94" s="8"/>
      <c r="J94" s="8"/>
      <c r="K94" s="8"/>
      <c r="L94" s="8"/>
      <c r="M94" s="8"/>
      <c r="N94" s="8"/>
    </row>
    <row r="95" spans="1:14" x14ac:dyDescent="0.25">
      <c r="A95" s="13" t="s">
        <v>112</v>
      </c>
      <c r="B95" s="7" t="s">
        <v>20</v>
      </c>
      <c r="C95" s="7" t="s">
        <v>21</v>
      </c>
      <c r="D95" s="7" t="s">
        <v>113</v>
      </c>
      <c r="E95" s="8">
        <v>3753</v>
      </c>
      <c r="F95" s="8">
        <v>3927</v>
      </c>
      <c r="G95" s="8">
        <v>3896</v>
      </c>
      <c r="H95" s="8">
        <v>4787</v>
      </c>
      <c r="I95" s="8">
        <v>4811</v>
      </c>
      <c r="J95" s="8">
        <v>5241</v>
      </c>
      <c r="K95" s="8">
        <v>5652</v>
      </c>
      <c r="L95" s="8">
        <v>6110</v>
      </c>
      <c r="M95" s="8">
        <v>6702.6736679516544</v>
      </c>
      <c r="N95" s="8">
        <v>7246.4268375040447</v>
      </c>
    </row>
    <row r="96" spans="1:14" x14ac:dyDescent="0.25">
      <c r="A96" s="13" t="s">
        <v>114</v>
      </c>
      <c r="B96" s="7" t="s">
        <v>96</v>
      </c>
      <c r="C96" s="7" t="s">
        <v>97</v>
      </c>
      <c r="D96" s="7" t="s">
        <v>113</v>
      </c>
      <c r="E96" s="8">
        <v>10.9</v>
      </c>
      <c r="F96" s="8">
        <v>4.5999999999999996</v>
      </c>
      <c r="G96" s="8">
        <v>-0.8</v>
      </c>
      <c r="H96" s="8">
        <v>22.8</v>
      </c>
      <c r="I96" s="8">
        <v>0.5</v>
      </c>
      <c r="J96" s="8">
        <v>8.9</v>
      </c>
      <c r="K96" s="8">
        <v>7.9</v>
      </c>
      <c r="L96" s="8">
        <v>8.1</v>
      </c>
      <c r="M96" s="8" t="s">
        <v>1483</v>
      </c>
      <c r="N96" s="8" t="s">
        <v>1483</v>
      </c>
    </row>
    <row r="97" spans="1:14" x14ac:dyDescent="0.25">
      <c r="A97" s="13" t="s">
        <v>115</v>
      </c>
      <c r="B97" s="7" t="s">
        <v>75</v>
      </c>
      <c r="C97" s="7" t="s">
        <v>76</v>
      </c>
      <c r="D97" s="7" t="s">
        <v>113</v>
      </c>
      <c r="E97" s="8">
        <v>9.6999999999999993</v>
      </c>
      <c r="F97" s="8">
        <v>9.3000000000000007</v>
      </c>
      <c r="G97" s="8">
        <v>-0.9</v>
      </c>
      <c r="H97" s="8">
        <v>18.8</v>
      </c>
      <c r="I97" s="8">
        <v>11.7</v>
      </c>
      <c r="J97" s="8">
        <v>10.9</v>
      </c>
      <c r="K97" s="8">
        <v>9.8000000000000007</v>
      </c>
      <c r="L97" s="8">
        <v>6.4</v>
      </c>
      <c r="M97" s="8">
        <v>6.9798978145248185</v>
      </c>
      <c r="N97" s="8">
        <v>8.035641886869465</v>
      </c>
    </row>
    <row r="98" spans="1:14" x14ac:dyDescent="0.25">
      <c r="A98" s="13" t="s">
        <v>85</v>
      </c>
      <c r="B98" s="7" t="s">
        <v>20</v>
      </c>
      <c r="C98" s="7" t="s">
        <v>21</v>
      </c>
      <c r="D98" s="7" t="s">
        <v>116</v>
      </c>
      <c r="E98" s="8" t="s">
        <v>1483</v>
      </c>
      <c r="F98" s="8">
        <v>1922</v>
      </c>
      <c r="G98" s="8">
        <v>1769</v>
      </c>
      <c r="H98" s="8">
        <v>2275</v>
      </c>
      <c r="I98" s="8">
        <v>2166</v>
      </c>
      <c r="J98" s="8">
        <v>2406</v>
      </c>
      <c r="K98" s="8">
        <v>2651</v>
      </c>
      <c r="L98" s="8">
        <v>2768</v>
      </c>
      <c r="M98" s="8">
        <v>2928.4483113525275</v>
      </c>
      <c r="N98" s="8">
        <v>3142.8236784025094</v>
      </c>
    </row>
    <row r="99" spans="1:14" x14ac:dyDescent="0.25">
      <c r="A99" s="13" t="s">
        <v>117</v>
      </c>
      <c r="B99" s="7" t="s">
        <v>96</v>
      </c>
      <c r="C99" s="7" t="s">
        <v>97</v>
      </c>
      <c r="D99" s="7" t="s">
        <v>116</v>
      </c>
      <c r="E99" s="8" t="s">
        <v>1483</v>
      </c>
      <c r="F99" s="8" t="s">
        <v>1483</v>
      </c>
      <c r="G99" s="8">
        <v>-8</v>
      </c>
      <c r="H99" s="8">
        <v>28.6</v>
      </c>
      <c r="I99" s="8">
        <v>-2.2000000000000002</v>
      </c>
      <c r="J99" s="8">
        <v>11.1</v>
      </c>
      <c r="K99" s="8">
        <v>10.199999999999999</v>
      </c>
      <c r="L99" s="8">
        <v>4.4000000000000004</v>
      </c>
      <c r="M99" s="8" t="s">
        <v>1483</v>
      </c>
      <c r="N99" s="8" t="s">
        <v>1483</v>
      </c>
    </row>
    <row r="100" spans="1:14" x14ac:dyDescent="0.25">
      <c r="A100" s="13" t="s">
        <v>74</v>
      </c>
      <c r="B100" s="7" t="s">
        <v>75</v>
      </c>
      <c r="C100" s="7" t="s">
        <v>76</v>
      </c>
      <c r="D100" s="7" t="s">
        <v>116</v>
      </c>
      <c r="E100" s="8" t="s">
        <v>1483</v>
      </c>
      <c r="F100" s="8" t="s">
        <v>1483</v>
      </c>
      <c r="G100" s="8">
        <v>-8.4</v>
      </c>
      <c r="H100" s="8">
        <v>24.5</v>
      </c>
      <c r="I100" s="8">
        <v>9.3000000000000007</v>
      </c>
      <c r="J100" s="8">
        <v>13.1</v>
      </c>
      <c r="K100" s="8">
        <v>12</v>
      </c>
      <c r="L100" s="8">
        <v>2.6</v>
      </c>
      <c r="M100" s="8" t="s">
        <v>1483</v>
      </c>
      <c r="N100" s="8" t="s">
        <v>1483</v>
      </c>
    </row>
    <row r="101" spans="1:14" x14ac:dyDescent="0.25">
      <c r="A101" s="13" t="s">
        <v>87</v>
      </c>
      <c r="B101" s="7" t="s">
        <v>20</v>
      </c>
      <c r="C101" s="7" t="s">
        <v>21</v>
      </c>
      <c r="D101" s="7" t="s">
        <v>118</v>
      </c>
      <c r="E101" s="8">
        <v>457</v>
      </c>
      <c r="F101" s="8">
        <v>468</v>
      </c>
      <c r="G101" s="8">
        <v>397</v>
      </c>
      <c r="H101" s="8">
        <v>497</v>
      </c>
      <c r="I101" s="8">
        <v>504</v>
      </c>
      <c r="J101" s="8">
        <v>597</v>
      </c>
      <c r="K101" s="8">
        <v>659</v>
      </c>
      <c r="L101" s="8">
        <v>732</v>
      </c>
      <c r="M101" s="8">
        <v>783.85257532446462</v>
      </c>
      <c r="N101" s="8">
        <v>838.49530976884739</v>
      </c>
    </row>
    <row r="102" spans="1:14" x14ac:dyDescent="0.25">
      <c r="A102" s="13" t="s">
        <v>95</v>
      </c>
      <c r="B102" s="7" t="s">
        <v>96</v>
      </c>
      <c r="C102" s="7" t="s">
        <v>97</v>
      </c>
      <c r="D102" s="7" t="s">
        <v>118</v>
      </c>
      <c r="E102" s="8">
        <v>7.3</v>
      </c>
      <c r="F102" s="8">
        <v>2.6</v>
      </c>
      <c r="G102" s="8">
        <v>-15.3</v>
      </c>
      <c r="H102" s="8">
        <v>25.5</v>
      </c>
      <c r="I102" s="8">
        <v>1</v>
      </c>
      <c r="J102" s="8">
        <v>18.5</v>
      </c>
      <c r="K102" s="8">
        <v>10.4</v>
      </c>
      <c r="L102" s="8">
        <v>11</v>
      </c>
      <c r="M102" s="8" t="s">
        <v>1483</v>
      </c>
      <c r="N102" s="8" t="s">
        <v>1483</v>
      </c>
    </row>
    <row r="103" spans="1:14" x14ac:dyDescent="0.25">
      <c r="A103" s="13" t="s">
        <v>81</v>
      </c>
      <c r="B103" s="7" t="s">
        <v>75</v>
      </c>
      <c r="C103" s="7" t="s">
        <v>76</v>
      </c>
      <c r="D103" s="7" t="s">
        <v>118</v>
      </c>
      <c r="E103" s="8">
        <v>5.7</v>
      </c>
      <c r="F103" s="8">
        <v>7.6</v>
      </c>
      <c r="G103" s="8">
        <v>-15.5</v>
      </c>
      <c r="H103" s="8">
        <v>21.3</v>
      </c>
      <c r="I103" s="8">
        <v>12.9</v>
      </c>
      <c r="J103" s="8">
        <v>20.9</v>
      </c>
      <c r="K103" s="8">
        <v>12.2</v>
      </c>
      <c r="L103" s="8">
        <v>9.6999999999999993</v>
      </c>
      <c r="M103" s="8">
        <v>7.0322490234030317</v>
      </c>
      <c r="N103" s="8">
        <v>6.7053029657506729</v>
      </c>
    </row>
    <row r="104" spans="1:14" x14ac:dyDescent="0.25">
      <c r="A104" s="13" t="s">
        <v>89</v>
      </c>
      <c r="B104" s="7" t="s">
        <v>20</v>
      </c>
      <c r="C104" s="7" t="s">
        <v>21</v>
      </c>
      <c r="D104" s="7" t="s">
        <v>119</v>
      </c>
      <c r="E104" s="8">
        <v>498</v>
      </c>
      <c r="F104" s="8">
        <v>501</v>
      </c>
      <c r="G104" s="8">
        <v>429</v>
      </c>
      <c r="H104" s="8">
        <v>520</v>
      </c>
      <c r="I104" s="8">
        <v>517</v>
      </c>
      <c r="J104" s="8">
        <v>556</v>
      </c>
      <c r="K104" s="8">
        <v>645</v>
      </c>
      <c r="L104" s="8">
        <v>728</v>
      </c>
      <c r="M104" s="8">
        <v>778.31796898750952</v>
      </c>
      <c r="N104" s="8">
        <v>829.46673947583736</v>
      </c>
    </row>
    <row r="105" spans="1:14" x14ac:dyDescent="0.25">
      <c r="A105" s="13" t="s">
        <v>95</v>
      </c>
      <c r="B105" s="7" t="s">
        <v>96</v>
      </c>
      <c r="C105" s="7" t="s">
        <v>97</v>
      </c>
      <c r="D105" s="7" t="s">
        <v>119</v>
      </c>
      <c r="E105" s="8">
        <v>3.1</v>
      </c>
      <c r="F105" s="8">
        <v>0.3</v>
      </c>
      <c r="G105" s="8">
        <v>-14.1</v>
      </c>
      <c r="H105" s="8">
        <v>21.1</v>
      </c>
      <c r="I105" s="8">
        <v>-0.6</v>
      </c>
      <c r="J105" s="8">
        <v>7.5</v>
      </c>
      <c r="K105" s="8">
        <v>15.9</v>
      </c>
      <c r="L105" s="8">
        <v>12.9</v>
      </c>
      <c r="M105" s="8" t="s">
        <v>1483</v>
      </c>
      <c r="N105" s="8" t="s">
        <v>1483</v>
      </c>
    </row>
    <row r="106" spans="1:14" x14ac:dyDescent="0.25">
      <c r="A106" s="13" t="s">
        <v>81</v>
      </c>
      <c r="B106" s="7" t="s">
        <v>75</v>
      </c>
      <c r="C106" s="7" t="s">
        <v>76</v>
      </c>
      <c r="D106" s="7" t="s">
        <v>119</v>
      </c>
      <c r="E106" s="8">
        <v>2</v>
      </c>
      <c r="F106" s="8">
        <v>4.8</v>
      </c>
      <c r="G106" s="8">
        <v>-13.8</v>
      </c>
      <c r="H106" s="8">
        <v>17.2</v>
      </c>
      <c r="I106" s="8">
        <v>11.5</v>
      </c>
      <c r="J106" s="8">
        <v>10.7</v>
      </c>
      <c r="K106" s="8">
        <v>18.399999999999999</v>
      </c>
      <c r="L106" s="8">
        <v>11.2</v>
      </c>
      <c r="M106" s="8">
        <v>6.4746344964143479</v>
      </c>
      <c r="N106" s="8">
        <v>6.2663389770800793</v>
      </c>
    </row>
    <row r="107" spans="1:14" x14ac:dyDescent="0.25">
      <c r="A107" s="13" t="s">
        <v>91</v>
      </c>
      <c r="B107" s="7" t="s">
        <v>20</v>
      </c>
      <c r="C107" s="7" t="s">
        <v>21</v>
      </c>
      <c r="D107" s="7" t="s">
        <v>120</v>
      </c>
      <c r="E107" s="8">
        <v>579</v>
      </c>
      <c r="F107" s="8">
        <v>588</v>
      </c>
      <c r="G107" s="8">
        <v>583</v>
      </c>
      <c r="H107" s="8">
        <v>798</v>
      </c>
      <c r="I107" s="8">
        <v>772</v>
      </c>
      <c r="J107" s="8">
        <v>850</v>
      </c>
      <c r="K107" s="8">
        <v>921</v>
      </c>
      <c r="L107" s="8">
        <v>1022</v>
      </c>
      <c r="M107" s="8">
        <v>1124.6793498695797</v>
      </c>
      <c r="N107" s="8">
        <v>1209.7656896072053</v>
      </c>
    </row>
    <row r="108" spans="1:14" x14ac:dyDescent="0.25">
      <c r="A108" s="13" t="s">
        <v>95</v>
      </c>
      <c r="B108" s="7" t="s">
        <v>96</v>
      </c>
      <c r="C108" s="7" t="s">
        <v>97</v>
      </c>
      <c r="D108" s="7" t="s">
        <v>120</v>
      </c>
      <c r="E108" s="8">
        <v>9.6999999999999993</v>
      </c>
      <c r="F108" s="8">
        <v>1.6</v>
      </c>
      <c r="G108" s="8">
        <v>-0.9</v>
      </c>
      <c r="H108" s="8">
        <v>36.799999999999997</v>
      </c>
      <c r="I108" s="8">
        <v>-3.2</v>
      </c>
      <c r="J108" s="8">
        <v>10.1</v>
      </c>
      <c r="K108" s="8">
        <v>8.3000000000000007</v>
      </c>
      <c r="L108" s="8">
        <v>11</v>
      </c>
      <c r="M108" s="8" t="s">
        <v>1483</v>
      </c>
      <c r="N108" s="8" t="s">
        <v>1483</v>
      </c>
    </row>
    <row r="109" spans="1:14" x14ac:dyDescent="0.25">
      <c r="A109" s="13" t="s">
        <v>81</v>
      </c>
      <c r="B109" s="7" t="s">
        <v>75</v>
      </c>
      <c r="C109" s="7" t="s">
        <v>76</v>
      </c>
      <c r="D109" s="7" t="s">
        <v>120</v>
      </c>
      <c r="E109" s="8">
        <v>7.4</v>
      </c>
      <c r="F109" s="8">
        <v>5.8</v>
      </c>
      <c r="G109" s="8">
        <v>-1.9</v>
      </c>
      <c r="H109" s="8">
        <v>32.299999999999997</v>
      </c>
      <c r="I109" s="8">
        <v>8</v>
      </c>
      <c r="J109" s="8">
        <v>10.5</v>
      </c>
      <c r="K109" s="8">
        <v>9.1</v>
      </c>
      <c r="L109" s="8">
        <v>8.1999999999999993</v>
      </c>
      <c r="M109" s="8">
        <v>8.1689654180217719</v>
      </c>
      <c r="N109" s="8">
        <v>6.9772292875313617</v>
      </c>
    </row>
    <row r="110" spans="1:14" x14ac:dyDescent="0.25">
      <c r="A110" s="13" t="s">
        <v>93</v>
      </c>
      <c r="B110" s="7" t="s">
        <v>20</v>
      </c>
      <c r="C110" s="7" t="s">
        <v>21</v>
      </c>
      <c r="D110" s="7" t="s">
        <v>121</v>
      </c>
      <c r="E110" s="8" t="s">
        <v>1483</v>
      </c>
      <c r="F110" s="8" t="s">
        <v>1483</v>
      </c>
      <c r="G110" s="8" t="s">
        <v>1483</v>
      </c>
      <c r="H110" s="8" t="s">
        <v>1483</v>
      </c>
      <c r="I110" s="8">
        <v>222</v>
      </c>
      <c r="J110" s="8">
        <v>213</v>
      </c>
      <c r="K110" s="8">
        <v>218</v>
      </c>
      <c r="L110" s="8">
        <v>67</v>
      </c>
      <c r="M110" s="8" t="s">
        <v>1483</v>
      </c>
      <c r="N110" s="8" t="s">
        <v>1483</v>
      </c>
    </row>
    <row r="111" spans="1:14" x14ac:dyDescent="0.25">
      <c r="A111" s="13" t="s">
        <v>95</v>
      </c>
      <c r="B111" s="7" t="s">
        <v>96</v>
      </c>
      <c r="C111" s="7" t="s">
        <v>97</v>
      </c>
      <c r="D111" s="7" t="s">
        <v>121</v>
      </c>
      <c r="E111" s="8" t="s">
        <v>1483</v>
      </c>
      <c r="F111" s="8" t="s">
        <v>1483</v>
      </c>
      <c r="G111" s="8" t="s">
        <v>1483</v>
      </c>
      <c r="H111" s="8" t="s">
        <v>1483</v>
      </c>
      <c r="I111" s="8" t="s">
        <v>1483</v>
      </c>
      <c r="J111" s="8">
        <v>-4.0999999999999996</v>
      </c>
      <c r="K111" s="8">
        <v>2.5</v>
      </c>
      <c r="L111" s="8">
        <v>-69.3</v>
      </c>
      <c r="M111" s="8" t="s">
        <v>1483</v>
      </c>
      <c r="N111" s="8" t="s">
        <v>1483</v>
      </c>
    </row>
    <row r="112" spans="1:14" x14ac:dyDescent="0.25">
      <c r="A112" s="13" t="s">
        <v>81</v>
      </c>
      <c r="B112" s="7" t="s">
        <v>75</v>
      </c>
      <c r="C112" s="7" t="s">
        <v>76</v>
      </c>
      <c r="D112" s="7" t="s">
        <v>121</v>
      </c>
      <c r="E112" s="8" t="s">
        <v>1483</v>
      </c>
      <c r="F112" s="8" t="s">
        <v>1483</v>
      </c>
      <c r="G112" s="8" t="s">
        <v>1483</v>
      </c>
      <c r="H112" s="8" t="s">
        <v>1483</v>
      </c>
      <c r="I112" s="8" t="s">
        <v>1483</v>
      </c>
      <c r="J112" s="8">
        <v>-3.4</v>
      </c>
      <c r="K112" s="8">
        <v>3.8</v>
      </c>
      <c r="L112" s="8">
        <v>-69.2</v>
      </c>
      <c r="M112" s="8" t="s">
        <v>1483</v>
      </c>
      <c r="N112" s="8" t="s">
        <v>1483</v>
      </c>
    </row>
    <row r="113" spans="1:14" x14ac:dyDescent="0.25">
      <c r="A113" s="13" t="s">
        <v>98</v>
      </c>
      <c r="B113" s="7" t="s">
        <v>20</v>
      </c>
      <c r="C113" s="7" t="s">
        <v>21</v>
      </c>
      <c r="D113" s="7" t="s">
        <v>122</v>
      </c>
      <c r="E113" s="8" t="s">
        <v>1483</v>
      </c>
      <c r="F113" s="8">
        <v>81</v>
      </c>
      <c r="G113" s="8">
        <v>77</v>
      </c>
      <c r="H113" s="8">
        <v>124</v>
      </c>
      <c r="I113" s="8">
        <v>151</v>
      </c>
      <c r="J113" s="8">
        <v>190</v>
      </c>
      <c r="K113" s="8">
        <v>208</v>
      </c>
      <c r="L113" s="8">
        <v>219</v>
      </c>
      <c r="M113" s="8" t="s">
        <v>1483</v>
      </c>
      <c r="N113" s="8" t="s">
        <v>1483</v>
      </c>
    </row>
    <row r="114" spans="1:14" x14ac:dyDescent="0.25">
      <c r="A114" s="13" t="s">
        <v>95</v>
      </c>
      <c r="B114" s="7" t="s">
        <v>96</v>
      </c>
      <c r="C114" s="7" t="s">
        <v>97</v>
      </c>
      <c r="D114" s="7" t="s">
        <v>122</v>
      </c>
      <c r="E114" s="8" t="s">
        <v>1483</v>
      </c>
      <c r="F114" s="8" t="s">
        <v>1483</v>
      </c>
      <c r="G114" s="8">
        <v>-4.9000000000000004</v>
      </c>
      <c r="H114" s="8">
        <v>58.8</v>
      </c>
      <c r="I114" s="8">
        <v>-0.9</v>
      </c>
      <c r="J114" s="8">
        <v>25.8</v>
      </c>
      <c r="K114" s="8">
        <v>10.1</v>
      </c>
      <c r="L114" s="8">
        <v>5.3</v>
      </c>
      <c r="M114" s="8" t="s">
        <v>1483</v>
      </c>
      <c r="N114" s="8" t="s">
        <v>1483</v>
      </c>
    </row>
    <row r="115" spans="1:14" x14ac:dyDescent="0.25">
      <c r="A115" s="13" t="s">
        <v>81</v>
      </c>
      <c r="B115" s="7" t="s">
        <v>75</v>
      </c>
      <c r="C115" s="7" t="s">
        <v>76</v>
      </c>
      <c r="D115" s="7" t="s">
        <v>123</v>
      </c>
      <c r="E115" s="8">
        <v>21.3</v>
      </c>
      <c r="F115" s="8">
        <v>14.2</v>
      </c>
      <c r="G115" s="8">
        <v>-2.2000000000000002</v>
      </c>
      <c r="H115" s="8">
        <v>40.799999999999997</v>
      </c>
      <c r="I115" s="8">
        <v>29.9</v>
      </c>
      <c r="J115" s="8">
        <v>40.9</v>
      </c>
      <c r="K115" s="8">
        <v>15.4</v>
      </c>
      <c r="L115" s="8">
        <v>3.6</v>
      </c>
      <c r="M115" s="8">
        <v>7.7401777344351403</v>
      </c>
      <c r="N115" s="8">
        <v>8.3063317667012289</v>
      </c>
    </row>
    <row r="116" spans="1:14" x14ac:dyDescent="0.25">
      <c r="A116" s="13" t="s">
        <v>100</v>
      </c>
      <c r="B116" s="7" t="s">
        <v>20</v>
      </c>
      <c r="C116" s="7" t="s">
        <v>21</v>
      </c>
      <c r="D116" s="7" t="s">
        <v>124</v>
      </c>
      <c r="E116" s="8" t="s">
        <v>1483</v>
      </c>
      <c r="F116" s="8">
        <v>2005</v>
      </c>
      <c r="G116" s="8">
        <v>2127</v>
      </c>
      <c r="H116" s="8">
        <v>2512</v>
      </c>
      <c r="I116" s="8">
        <v>2645</v>
      </c>
      <c r="J116" s="8">
        <v>2835</v>
      </c>
      <c r="K116" s="8">
        <v>3001</v>
      </c>
      <c r="L116" s="8">
        <v>3342</v>
      </c>
      <c r="M116" s="8">
        <v>3736.1611697448425</v>
      </c>
      <c r="N116" s="8">
        <v>4057.9132785349661</v>
      </c>
    </row>
    <row r="117" spans="1:14" x14ac:dyDescent="0.25">
      <c r="A117" s="13" t="s">
        <v>117</v>
      </c>
      <c r="B117" s="7" t="s">
        <v>96</v>
      </c>
      <c r="C117" s="7" t="s">
        <v>97</v>
      </c>
      <c r="D117" s="7" t="s">
        <v>124</v>
      </c>
      <c r="E117" s="8" t="s">
        <v>1483</v>
      </c>
      <c r="F117" s="8" t="s">
        <v>1483</v>
      </c>
      <c r="G117" s="8">
        <v>6.1</v>
      </c>
      <c r="H117" s="8">
        <v>18.100000000000001</v>
      </c>
      <c r="I117" s="8">
        <v>3</v>
      </c>
      <c r="J117" s="8">
        <v>7.2</v>
      </c>
      <c r="K117" s="8">
        <v>5.9</v>
      </c>
      <c r="L117" s="8">
        <v>11.3</v>
      </c>
      <c r="M117" s="8" t="s">
        <v>1483</v>
      </c>
      <c r="N117" s="8" t="s">
        <v>1483</v>
      </c>
    </row>
    <row r="118" spans="1:14" x14ac:dyDescent="0.25">
      <c r="A118" s="13" t="s">
        <v>74</v>
      </c>
      <c r="B118" s="7" t="s">
        <v>75</v>
      </c>
      <c r="C118" s="7" t="s">
        <v>76</v>
      </c>
      <c r="D118" s="7" t="s">
        <v>124</v>
      </c>
      <c r="E118" s="8" t="s">
        <v>1483</v>
      </c>
      <c r="F118" s="8" t="s">
        <v>1483</v>
      </c>
      <c r="G118" s="8">
        <v>6.2</v>
      </c>
      <c r="H118" s="8">
        <v>14</v>
      </c>
      <c r="I118" s="8">
        <v>13.8</v>
      </c>
      <c r="J118" s="8">
        <v>9.1999999999999993</v>
      </c>
      <c r="K118" s="8">
        <v>7.9</v>
      </c>
      <c r="L118" s="8">
        <v>9.6999999999999993</v>
      </c>
      <c r="M118" s="8">
        <v>8.436177238663058</v>
      </c>
      <c r="N118" s="8">
        <v>9.6090588039583036</v>
      </c>
    </row>
    <row r="119" spans="1:14" x14ac:dyDescent="0.25">
      <c r="A119" s="13" t="s">
        <v>102</v>
      </c>
      <c r="B119" s="7" t="s">
        <v>20</v>
      </c>
      <c r="C119" s="7" t="s">
        <v>21</v>
      </c>
      <c r="D119" s="7" t="s">
        <v>125</v>
      </c>
      <c r="E119" s="8">
        <v>398</v>
      </c>
      <c r="F119" s="8">
        <v>417</v>
      </c>
      <c r="G119" s="8">
        <v>392</v>
      </c>
      <c r="H119" s="8">
        <v>474</v>
      </c>
      <c r="I119" s="8">
        <v>469</v>
      </c>
      <c r="J119" s="8">
        <v>518</v>
      </c>
      <c r="K119" s="8">
        <v>567</v>
      </c>
      <c r="L119" s="8">
        <v>621</v>
      </c>
      <c r="M119" s="8">
        <v>673.00307173595866</v>
      </c>
      <c r="N119" s="8">
        <v>724.90447757198046</v>
      </c>
    </row>
    <row r="120" spans="1:14" x14ac:dyDescent="0.25">
      <c r="A120" s="13" t="s">
        <v>95</v>
      </c>
      <c r="B120" s="7" t="s">
        <v>96</v>
      </c>
      <c r="C120" s="7" t="s">
        <v>97</v>
      </c>
      <c r="D120" s="7" t="s">
        <v>125</v>
      </c>
      <c r="E120" s="8">
        <v>6.4</v>
      </c>
      <c r="F120" s="8">
        <v>8.6999999999999993</v>
      </c>
      <c r="G120" s="8">
        <v>-6.1</v>
      </c>
      <c r="H120" s="8">
        <v>20.9</v>
      </c>
      <c r="I120" s="8">
        <v>-0.9</v>
      </c>
      <c r="J120" s="8">
        <v>10.4</v>
      </c>
      <c r="K120" s="8">
        <v>9.5</v>
      </c>
      <c r="L120" s="8">
        <v>9.5</v>
      </c>
      <c r="M120" s="8" t="s">
        <v>1483</v>
      </c>
      <c r="N120" s="8" t="s">
        <v>1483</v>
      </c>
    </row>
    <row r="121" spans="1:14" x14ac:dyDescent="0.25">
      <c r="A121" s="13" t="s">
        <v>81</v>
      </c>
      <c r="B121" s="7" t="s">
        <v>75</v>
      </c>
      <c r="C121" s="7" t="s">
        <v>76</v>
      </c>
      <c r="D121" s="7" t="s">
        <v>125</v>
      </c>
      <c r="E121" s="8">
        <v>6</v>
      </c>
      <c r="F121" s="8">
        <v>13.8</v>
      </c>
      <c r="G121" s="8">
        <v>-6.2</v>
      </c>
      <c r="H121" s="8">
        <v>16.600000000000001</v>
      </c>
      <c r="I121" s="8">
        <v>10</v>
      </c>
      <c r="J121" s="8">
        <v>11.8</v>
      </c>
      <c r="K121" s="8">
        <v>10.6</v>
      </c>
      <c r="L121" s="8">
        <v>7.5</v>
      </c>
      <c r="M121" s="8">
        <v>7.0536459613868914</v>
      </c>
      <c r="N121" s="8">
        <v>6.9105136718917572</v>
      </c>
    </row>
    <row r="122" spans="1:14" x14ac:dyDescent="0.25">
      <c r="A122" s="13" t="s">
        <v>104</v>
      </c>
      <c r="B122" s="7" t="s">
        <v>20</v>
      </c>
      <c r="C122" s="7" t="s">
        <v>21</v>
      </c>
      <c r="D122" s="7" t="s">
        <v>126</v>
      </c>
      <c r="E122" s="8">
        <v>414</v>
      </c>
      <c r="F122" s="8">
        <v>406</v>
      </c>
      <c r="G122" s="8">
        <v>355</v>
      </c>
      <c r="H122" s="8">
        <v>471</v>
      </c>
      <c r="I122" s="8">
        <v>514</v>
      </c>
      <c r="J122" s="8">
        <v>555</v>
      </c>
      <c r="K122" s="8">
        <v>597</v>
      </c>
      <c r="L122" s="8">
        <v>674</v>
      </c>
      <c r="M122" s="8">
        <v>752.78525142622323</v>
      </c>
      <c r="N122" s="8">
        <v>812.89702330903845</v>
      </c>
    </row>
    <row r="123" spans="1:14" x14ac:dyDescent="0.25">
      <c r="A123" s="13" t="s">
        <v>95</v>
      </c>
      <c r="B123" s="7" t="s">
        <v>96</v>
      </c>
      <c r="C123" s="7" t="s">
        <v>97</v>
      </c>
      <c r="D123" s="7" t="s">
        <v>126</v>
      </c>
      <c r="E123" s="8">
        <v>14.4</v>
      </c>
      <c r="F123" s="8">
        <v>-1.8</v>
      </c>
      <c r="G123" s="8">
        <v>-12.5</v>
      </c>
      <c r="H123" s="8">
        <v>32.700000000000003</v>
      </c>
      <c r="I123" s="8">
        <v>8.1999999999999993</v>
      </c>
      <c r="J123" s="8">
        <v>8</v>
      </c>
      <c r="K123" s="8">
        <v>7.7</v>
      </c>
      <c r="L123" s="8">
        <v>12.8</v>
      </c>
      <c r="M123" s="8" t="s">
        <v>1483</v>
      </c>
      <c r="N123" s="8" t="s">
        <v>1483</v>
      </c>
    </row>
    <row r="124" spans="1:14" x14ac:dyDescent="0.25">
      <c r="A124" s="13" t="s">
        <v>81</v>
      </c>
      <c r="B124" s="7" t="s">
        <v>75</v>
      </c>
      <c r="C124" s="7" t="s">
        <v>76</v>
      </c>
      <c r="D124" s="7" t="s">
        <v>126</v>
      </c>
      <c r="E124" s="8">
        <v>14.7</v>
      </c>
      <c r="F124" s="8">
        <v>3.4</v>
      </c>
      <c r="G124" s="8">
        <v>-12.2</v>
      </c>
      <c r="H124" s="8">
        <v>29.4</v>
      </c>
      <c r="I124" s="8">
        <v>20.8</v>
      </c>
      <c r="J124" s="8">
        <v>9.9</v>
      </c>
      <c r="K124" s="8">
        <v>10.7</v>
      </c>
      <c r="L124" s="8">
        <v>12.4</v>
      </c>
      <c r="M124" s="8">
        <v>7.968019469238083</v>
      </c>
      <c r="N124" s="8">
        <v>8.0000000000000036</v>
      </c>
    </row>
    <row r="125" spans="1:14" x14ac:dyDescent="0.25">
      <c r="A125" s="13" t="s">
        <v>106</v>
      </c>
      <c r="B125" s="7" t="s">
        <v>20</v>
      </c>
      <c r="C125" s="7" t="s">
        <v>21</v>
      </c>
      <c r="D125" s="7" t="s">
        <v>127</v>
      </c>
      <c r="E125" s="8">
        <v>488</v>
      </c>
      <c r="F125" s="8">
        <v>477</v>
      </c>
      <c r="G125" s="8">
        <v>614</v>
      </c>
      <c r="H125" s="8">
        <v>600</v>
      </c>
      <c r="I125" s="8">
        <v>609</v>
      </c>
      <c r="J125" s="8">
        <v>674</v>
      </c>
      <c r="K125" s="8">
        <v>661</v>
      </c>
      <c r="L125" s="8">
        <v>694</v>
      </c>
      <c r="M125" s="8">
        <v>748.45142820319245</v>
      </c>
      <c r="N125" s="8">
        <v>803.80222389025084</v>
      </c>
    </row>
    <row r="126" spans="1:14" x14ac:dyDescent="0.25">
      <c r="A126" s="13" t="s">
        <v>95</v>
      </c>
      <c r="B126" s="7" t="s">
        <v>96</v>
      </c>
      <c r="C126" s="7" t="s">
        <v>97</v>
      </c>
      <c r="D126" s="7" t="s">
        <v>127</v>
      </c>
      <c r="E126" s="8">
        <v>9.9</v>
      </c>
      <c r="F126" s="8">
        <v>-2.4</v>
      </c>
      <c r="G126" s="8">
        <v>28.9</v>
      </c>
      <c r="H126" s="8">
        <v>-2.4</v>
      </c>
      <c r="I126" s="8">
        <v>1.5</v>
      </c>
      <c r="J126" s="8">
        <v>10.7</v>
      </c>
      <c r="K126" s="8">
        <v>-2</v>
      </c>
      <c r="L126" s="8">
        <v>4.8</v>
      </c>
      <c r="M126" s="8" t="s">
        <v>1483</v>
      </c>
      <c r="N126" s="8" t="s">
        <v>1483</v>
      </c>
    </row>
    <row r="127" spans="1:14" x14ac:dyDescent="0.25">
      <c r="A127" s="13" t="s">
        <v>81</v>
      </c>
      <c r="B127" s="7" t="s">
        <v>75</v>
      </c>
      <c r="C127" s="7" t="s">
        <v>76</v>
      </c>
      <c r="D127" s="7" t="s">
        <v>127</v>
      </c>
      <c r="E127" s="8">
        <v>9.4</v>
      </c>
      <c r="F127" s="8">
        <v>2.9</v>
      </c>
      <c r="G127" s="8">
        <v>30.3</v>
      </c>
      <c r="H127" s="8">
        <v>-6.6</v>
      </c>
      <c r="I127" s="8">
        <v>11.7</v>
      </c>
      <c r="J127" s="8">
        <v>12.3</v>
      </c>
      <c r="K127" s="8">
        <v>-0.3</v>
      </c>
      <c r="L127" s="8">
        <v>2.8</v>
      </c>
      <c r="M127" s="8">
        <v>8.0656417382301182</v>
      </c>
      <c r="N127" s="8">
        <v>7.8232014100632696</v>
      </c>
    </row>
    <row r="128" spans="1:14" x14ac:dyDescent="0.25">
      <c r="A128" s="13" t="s">
        <v>108</v>
      </c>
      <c r="B128" s="7" t="s">
        <v>20</v>
      </c>
      <c r="C128" s="7" t="s">
        <v>21</v>
      </c>
      <c r="D128" s="7" t="s">
        <v>128</v>
      </c>
      <c r="E128" s="8" t="s">
        <v>1483</v>
      </c>
      <c r="F128" s="8">
        <v>533</v>
      </c>
      <c r="G128" s="8">
        <v>592</v>
      </c>
      <c r="H128" s="8">
        <v>737</v>
      </c>
      <c r="I128" s="8">
        <v>754</v>
      </c>
      <c r="J128" s="8">
        <v>743</v>
      </c>
      <c r="K128" s="8">
        <v>801</v>
      </c>
      <c r="L128" s="8" t="s">
        <v>1483</v>
      </c>
      <c r="M128" s="8">
        <v>1043.2739325684286</v>
      </c>
      <c r="N128" s="8">
        <v>1146.6555551484546</v>
      </c>
    </row>
    <row r="129" spans="1:14" x14ac:dyDescent="0.25">
      <c r="A129" s="13" t="s">
        <v>95</v>
      </c>
      <c r="B129" s="7" t="s">
        <v>96</v>
      </c>
      <c r="C129" s="7" t="s">
        <v>97</v>
      </c>
      <c r="D129" s="7" t="s">
        <v>128</v>
      </c>
      <c r="E129" s="8" t="s">
        <v>1483</v>
      </c>
      <c r="F129" s="8" t="s">
        <v>1483</v>
      </c>
      <c r="G129" s="8">
        <v>11.1</v>
      </c>
      <c r="H129" s="8">
        <v>24.4</v>
      </c>
      <c r="I129" s="8">
        <v>2.2999999999999998</v>
      </c>
      <c r="J129" s="8">
        <v>-1.5</v>
      </c>
      <c r="K129" s="8">
        <v>7.9</v>
      </c>
      <c r="L129" s="8">
        <v>14.8</v>
      </c>
      <c r="M129" s="8" t="s">
        <v>1483</v>
      </c>
      <c r="N129" s="8" t="s">
        <v>1483</v>
      </c>
    </row>
    <row r="130" spans="1:14" x14ac:dyDescent="0.25">
      <c r="A130" s="13" t="s">
        <v>81</v>
      </c>
      <c r="B130" s="7" t="s">
        <v>75</v>
      </c>
      <c r="C130" s="7" t="s">
        <v>76</v>
      </c>
      <c r="D130" s="7" t="s">
        <v>128</v>
      </c>
      <c r="E130" s="8" t="s">
        <v>1483</v>
      </c>
      <c r="F130" s="8" t="s">
        <v>1483</v>
      </c>
      <c r="G130" s="8">
        <v>10.1</v>
      </c>
      <c r="H130" s="8">
        <v>20.3</v>
      </c>
      <c r="I130" s="8">
        <v>12.2</v>
      </c>
      <c r="J130" s="8">
        <v>1.5</v>
      </c>
      <c r="K130" s="8">
        <v>10.5</v>
      </c>
      <c r="L130" s="8">
        <v>13.4</v>
      </c>
      <c r="M130" s="8">
        <v>15.175561946552092</v>
      </c>
      <c r="N130" s="8">
        <v>13.801450847120627</v>
      </c>
    </row>
    <row r="131" spans="1:14" x14ac:dyDescent="0.25">
      <c r="A131" s="13" t="s">
        <v>110</v>
      </c>
      <c r="B131" s="7" t="s">
        <v>20</v>
      </c>
      <c r="C131" s="7" t="s">
        <v>21</v>
      </c>
      <c r="D131" s="7" t="s">
        <v>129</v>
      </c>
      <c r="E131" s="8" t="s">
        <v>1483</v>
      </c>
      <c r="F131" s="8">
        <v>169</v>
      </c>
      <c r="G131" s="8">
        <v>171</v>
      </c>
      <c r="H131" s="8">
        <v>226</v>
      </c>
      <c r="I131" s="8">
        <v>299</v>
      </c>
      <c r="J131" s="8">
        <v>345</v>
      </c>
      <c r="K131" s="8">
        <v>375</v>
      </c>
      <c r="L131" s="8">
        <v>433</v>
      </c>
      <c r="M131" s="8">
        <v>546.56253969127135</v>
      </c>
      <c r="N131" s="8">
        <v>601.86197084348578</v>
      </c>
    </row>
    <row r="132" spans="1:14" x14ac:dyDescent="0.25">
      <c r="A132" s="13" t="s">
        <v>95</v>
      </c>
      <c r="B132" s="7" t="s">
        <v>96</v>
      </c>
      <c r="C132" s="7" t="s">
        <v>97</v>
      </c>
      <c r="D132" s="7" t="s">
        <v>129</v>
      </c>
      <c r="E132" s="8" t="s">
        <v>1483</v>
      </c>
      <c r="F132" s="8" t="s">
        <v>1483</v>
      </c>
      <c r="G132" s="8">
        <v>1.2</v>
      </c>
      <c r="H132" s="8">
        <v>32.4</v>
      </c>
      <c r="I132" s="8">
        <v>6.1</v>
      </c>
      <c r="J132" s="8">
        <v>15.4</v>
      </c>
      <c r="K132" s="8">
        <v>8.6999999999999993</v>
      </c>
      <c r="L132" s="8">
        <v>15.5</v>
      </c>
      <c r="M132" s="8" t="s">
        <v>1483</v>
      </c>
      <c r="N132" s="8" t="s">
        <v>1483</v>
      </c>
    </row>
    <row r="133" spans="1:14" x14ac:dyDescent="0.25">
      <c r="A133" s="13" t="s">
        <v>81</v>
      </c>
      <c r="B133" s="7" t="s">
        <v>75</v>
      </c>
      <c r="C133" s="7" t="s">
        <v>76</v>
      </c>
      <c r="D133" s="7" t="s">
        <v>129</v>
      </c>
      <c r="E133" s="8" t="s">
        <v>1483</v>
      </c>
      <c r="F133" s="8" t="s">
        <v>1483</v>
      </c>
      <c r="G133" s="8">
        <v>1</v>
      </c>
      <c r="H133" s="8">
        <v>28.6</v>
      </c>
      <c r="I133" s="8">
        <v>17.5</v>
      </c>
      <c r="J133" s="8">
        <v>16.8</v>
      </c>
      <c r="K133" s="8">
        <v>10.199999999999999</v>
      </c>
      <c r="L133" s="8">
        <v>13.1</v>
      </c>
      <c r="M133" s="8">
        <v>10.592331153973293</v>
      </c>
      <c r="N133" s="8">
        <v>9.4405436957331545</v>
      </c>
    </row>
    <row r="134" spans="1:14" x14ac:dyDescent="0.25">
      <c r="A134" s="13" t="s">
        <v>17</v>
      </c>
      <c r="B134" s="7"/>
      <c r="C134" s="7"/>
      <c r="D134" s="7"/>
      <c r="E134" s="8"/>
      <c r="F134" s="8"/>
      <c r="G134" s="8"/>
      <c r="H134" s="8"/>
      <c r="I134" s="8"/>
      <c r="J134" s="8"/>
      <c r="K134" s="8"/>
      <c r="L134" s="8"/>
      <c r="M134" s="8"/>
      <c r="N134" s="8"/>
    </row>
    <row r="135" spans="1:14" x14ac:dyDescent="0.25">
      <c r="A135" s="13" t="s">
        <v>78</v>
      </c>
      <c r="B135" s="7"/>
      <c r="C135" s="7"/>
      <c r="D135" s="7"/>
      <c r="E135" s="8"/>
      <c r="F135" s="8"/>
      <c r="G135" s="8"/>
      <c r="H135" s="8"/>
      <c r="I135" s="8"/>
      <c r="J135" s="8"/>
      <c r="K135" s="8"/>
      <c r="L135" s="8"/>
      <c r="M135" s="8"/>
      <c r="N135" s="8"/>
    </row>
    <row r="136" spans="1:14" x14ac:dyDescent="0.25">
      <c r="A136" s="13" t="s">
        <v>85</v>
      </c>
      <c r="B136" s="7"/>
      <c r="C136" s="7"/>
      <c r="D136" s="7"/>
      <c r="E136" s="8"/>
      <c r="F136" s="8"/>
      <c r="G136" s="8"/>
      <c r="H136" s="8"/>
      <c r="I136" s="8"/>
      <c r="J136" s="8"/>
      <c r="K136" s="8"/>
      <c r="L136" s="8"/>
      <c r="M136" s="8"/>
      <c r="N136" s="8"/>
    </row>
    <row r="137" spans="1:14" x14ac:dyDescent="0.25">
      <c r="A137" s="13" t="s">
        <v>130</v>
      </c>
      <c r="B137" s="7"/>
      <c r="C137" s="7"/>
      <c r="D137" s="7"/>
      <c r="E137" s="8"/>
      <c r="F137" s="8"/>
      <c r="G137" s="8"/>
      <c r="H137" s="8"/>
      <c r="I137" s="8"/>
      <c r="J137" s="8"/>
      <c r="K137" s="8"/>
      <c r="L137" s="8"/>
      <c r="M137" s="8"/>
      <c r="N137" s="8"/>
    </row>
    <row r="138" spans="1:14" x14ac:dyDescent="0.25">
      <c r="A138" s="13" t="s">
        <v>131</v>
      </c>
      <c r="B138" s="7" t="s">
        <v>20</v>
      </c>
      <c r="C138" s="7" t="s">
        <v>21</v>
      </c>
      <c r="D138" s="7" t="s">
        <v>132</v>
      </c>
      <c r="E138" s="8">
        <v>607</v>
      </c>
      <c r="F138" s="8">
        <v>873</v>
      </c>
      <c r="G138" s="8">
        <v>764</v>
      </c>
      <c r="H138" s="8">
        <v>831</v>
      </c>
      <c r="I138" s="8">
        <v>836</v>
      </c>
      <c r="J138" s="8">
        <v>883</v>
      </c>
      <c r="K138" s="8" t="s">
        <v>1483</v>
      </c>
      <c r="L138" s="8" t="s">
        <v>1483</v>
      </c>
      <c r="M138" s="8">
        <v>813.71675204503867</v>
      </c>
      <c r="N138" s="8">
        <v>813.71675204503867</v>
      </c>
    </row>
    <row r="139" spans="1:14" x14ac:dyDescent="0.25">
      <c r="A139" s="13" t="s">
        <v>133</v>
      </c>
      <c r="B139" s="7"/>
      <c r="C139" s="7"/>
      <c r="D139" s="7"/>
      <c r="E139" s="8"/>
      <c r="F139" s="8"/>
      <c r="G139" s="8"/>
      <c r="H139" s="8"/>
      <c r="I139" s="8"/>
      <c r="J139" s="8"/>
      <c r="K139" s="8"/>
      <c r="L139" s="8"/>
      <c r="M139" s="8"/>
      <c r="N139" s="8"/>
    </row>
    <row r="140" spans="1:14" x14ac:dyDescent="0.25">
      <c r="A140" s="13" t="s">
        <v>131</v>
      </c>
      <c r="B140" s="7" t="s">
        <v>20</v>
      </c>
      <c r="C140" s="7" t="s">
        <v>21</v>
      </c>
      <c r="D140" s="7" t="s">
        <v>134</v>
      </c>
      <c r="E140" s="8">
        <v>221</v>
      </c>
      <c r="F140" s="8">
        <v>284</v>
      </c>
      <c r="G140" s="8">
        <v>283</v>
      </c>
      <c r="H140" s="8">
        <v>336</v>
      </c>
      <c r="I140" s="8">
        <v>310</v>
      </c>
      <c r="J140" s="8">
        <v>306</v>
      </c>
      <c r="K140" s="8" t="s">
        <v>1483</v>
      </c>
      <c r="L140" s="8" t="s">
        <v>1483</v>
      </c>
      <c r="M140" s="8">
        <v>283.59240606804673</v>
      </c>
      <c r="N140" s="8">
        <v>283.59240606804673</v>
      </c>
    </row>
    <row r="141" spans="1:14" x14ac:dyDescent="0.25">
      <c r="A141" s="13" t="s">
        <v>135</v>
      </c>
      <c r="B141" s="7" t="s">
        <v>96</v>
      </c>
      <c r="C141" s="7" t="s">
        <v>97</v>
      </c>
      <c r="D141" s="7" t="s">
        <v>134</v>
      </c>
      <c r="E141" s="8">
        <v>20.8</v>
      </c>
      <c r="F141" s="8">
        <v>21.3</v>
      </c>
      <c r="G141" s="8">
        <v>-0.6</v>
      </c>
      <c r="H141" s="8">
        <v>19.100000000000001</v>
      </c>
      <c r="I141" s="8">
        <v>-7.7</v>
      </c>
      <c r="J141" s="8">
        <v>-1.6</v>
      </c>
      <c r="K141" s="8">
        <v>2.5</v>
      </c>
      <c r="L141" s="8" t="s">
        <v>1483</v>
      </c>
      <c r="M141" s="8" t="s">
        <v>1483</v>
      </c>
      <c r="N141" s="8" t="s">
        <v>1483</v>
      </c>
    </row>
    <row r="142" spans="1:14" x14ac:dyDescent="0.25">
      <c r="A142" s="13" t="s">
        <v>77</v>
      </c>
      <c r="B142" s="7" t="s">
        <v>75</v>
      </c>
      <c r="C142" s="7" t="s">
        <v>76</v>
      </c>
      <c r="D142" s="7" t="s">
        <v>134</v>
      </c>
      <c r="E142" s="8">
        <v>19.100000000000001</v>
      </c>
      <c r="F142" s="8">
        <v>25.4</v>
      </c>
      <c r="G142" s="8">
        <v>-0.9</v>
      </c>
      <c r="H142" s="8">
        <v>15.2</v>
      </c>
      <c r="I142" s="8">
        <v>2.4</v>
      </c>
      <c r="J142" s="8">
        <v>-0.9</v>
      </c>
      <c r="K142" s="8" t="s">
        <v>1483</v>
      </c>
      <c r="L142" s="8" t="s">
        <v>1483</v>
      </c>
      <c r="M142" s="8">
        <v>-100</v>
      </c>
      <c r="N142" s="8" t="s">
        <v>1483</v>
      </c>
    </row>
    <row r="143" spans="1:14" x14ac:dyDescent="0.25">
      <c r="A143" s="13" t="s">
        <v>136</v>
      </c>
      <c r="B143" s="7"/>
      <c r="C143" s="7"/>
      <c r="D143" s="7"/>
      <c r="E143" s="8"/>
      <c r="F143" s="8"/>
      <c r="G143" s="8"/>
      <c r="H143" s="8"/>
      <c r="I143" s="8"/>
      <c r="J143" s="8"/>
      <c r="K143" s="8"/>
      <c r="L143" s="8"/>
      <c r="M143" s="8"/>
      <c r="N143" s="8"/>
    </row>
    <row r="144" spans="1:14" x14ac:dyDescent="0.25">
      <c r="A144" s="13" t="s">
        <v>137</v>
      </c>
      <c r="B144" s="7" t="s">
        <v>12</v>
      </c>
      <c r="C144" s="7" t="s">
        <v>13</v>
      </c>
      <c r="D144" s="7"/>
      <c r="E144" s="8">
        <v>13601</v>
      </c>
      <c r="F144" s="8">
        <v>14884</v>
      </c>
      <c r="G144" s="8">
        <v>14351</v>
      </c>
      <c r="H144" s="8">
        <v>17108</v>
      </c>
      <c r="I144" s="8">
        <v>18449</v>
      </c>
      <c r="J144" s="8">
        <v>20498</v>
      </c>
      <c r="K144" s="8">
        <v>22595</v>
      </c>
      <c r="L144" s="8">
        <v>25116</v>
      </c>
      <c r="M144" s="8">
        <v>27330.321428571431</v>
      </c>
      <c r="N144" s="8">
        <v>29617.035714285714</v>
      </c>
    </row>
    <row r="145" spans="1:14" x14ac:dyDescent="0.25">
      <c r="A145" s="13" t="s">
        <v>138</v>
      </c>
      <c r="B145" s="7" t="s">
        <v>139</v>
      </c>
      <c r="C145" s="7" t="s">
        <v>140</v>
      </c>
      <c r="D145" s="7"/>
      <c r="E145" s="8">
        <v>0.4</v>
      </c>
      <c r="F145" s="8">
        <v>-1.3</v>
      </c>
      <c r="G145" s="8">
        <v>0</v>
      </c>
      <c r="H145" s="8">
        <v>1.1000000000000001</v>
      </c>
      <c r="I145" s="8">
        <v>-3.2</v>
      </c>
      <c r="J145" s="8">
        <v>-0.5</v>
      </c>
      <c r="K145" s="8">
        <v>-0.5</v>
      </c>
      <c r="L145" s="8">
        <v>0.5</v>
      </c>
      <c r="M145" s="8">
        <v>0.28368117362137157</v>
      </c>
      <c r="N145" s="8">
        <v>3.1837955125900395E-2</v>
      </c>
    </row>
    <row r="146" spans="1:14" x14ac:dyDescent="0.25">
      <c r="A146" s="13" t="s">
        <v>141</v>
      </c>
      <c r="B146" s="7" t="s">
        <v>142</v>
      </c>
      <c r="C146" s="7" t="s">
        <v>143</v>
      </c>
      <c r="D146" s="7"/>
      <c r="E146" s="8">
        <v>9.8000000000000007</v>
      </c>
      <c r="F146" s="8">
        <v>10.7</v>
      </c>
      <c r="G146" s="8">
        <v>-3.6</v>
      </c>
      <c r="H146" s="8">
        <v>18.100000000000001</v>
      </c>
      <c r="I146" s="8">
        <v>11</v>
      </c>
      <c r="J146" s="8">
        <v>11.6</v>
      </c>
      <c r="K146" s="8">
        <v>10.7</v>
      </c>
      <c r="L146" s="8">
        <v>10.7</v>
      </c>
      <c r="M146" s="8">
        <v>8.5567470151081526</v>
      </c>
      <c r="N146" s="8">
        <v>8.2876643899683753</v>
      </c>
    </row>
    <row r="147" spans="1:14" x14ac:dyDescent="0.25">
      <c r="A147" s="13" t="s">
        <v>14</v>
      </c>
      <c r="B147" s="7" t="s">
        <v>15</v>
      </c>
      <c r="C147" s="7" t="s">
        <v>16</v>
      </c>
      <c r="D147" s="7"/>
      <c r="E147" s="8">
        <v>7.9</v>
      </c>
      <c r="F147" s="8">
        <v>8.1</v>
      </c>
      <c r="G147" s="8">
        <v>-4.8</v>
      </c>
      <c r="H147" s="8">
        <v>12.6</v>
      </c>
      <c r="I147" s="8">
        <v>9.6999999999999993</v>
      </c>
      <c r="J147" s="8">
        <v>11.5</v>
      </c>
      <c r="K147" s="8">
        <v>10.199999999999999</v>
      </c>
      <c r="L147" s="8">
        <v>10.3</v>
      </c>
      <c r="M147" s="8">
        <v>8.7066022413233863</v>
      </c>
      <c r="N147" s="8">
        <v>8.2261575025075011</v>
      </c>
    </row>
    <row r="148" spans="1:14" x14ac:dyDescent="0.25">
      <c r="A148" s="13" t="s">
        <v>144</v>
      </c>
      <c r="B148" s="7" t="s">
        <v>145</v>
      </c>
      <c r="C148" s="7" t="s">
        <v>146</v>
      </c>
      <c r="D148" s="7"/>
      <c r="E148" s="8">
        <v>4618</v>
      </c>
      <c r="F148" s="8">
        <v>5077</v>
      </c>
      <c r="G148" s="8">
        <v>5191</v>
      </c>
      <c r="H148" s="8">
        <v>5841</v>
      </c>
      <c r="I148" s="8">
        <v>6800</v>
      </c>
      <c r="J148" s="8">
        <v>7399</v>
      </c>
      <c r="K148" s="8">
        <v>8030</v>
      </c>
      <c r="L148" s="8">
        <v>8725</v>
      </c>
      <c r="M148" s="8">
        <v>9494.1982880154737</v>
      </c>
      <c r="N148" s="8">
        <v>10188.491029392804</v>
      </c>
    </row>
    <row r="149" spans="1:14" x14ac:dyDescent="0.25">
      <c r="A149" s="13" t="s">
        <v>147</v>
      </c>
      <c r="B149" s="7" t="s">
        <v>148</v>
      </c>
      <c r="C149" s="7" t="s">
        <v>149</v>
      </c>
      <c r="D149" s="7"/>
      <c r="E149" s="8">
        <v>8983</v>
      </c>
      <c r="F149" s="8">
        <v>9807</v>
      </c>
      <c r="G149" s="8">
        <v>9160</v>
      </c>
      <c r="H149" s="8">
        <v>11267</v>
      </c>
      <c r="I149" s="8">
        <v>11649</v>
      </c>
      <c r="J149" s="8">
        <v>13099</v>
      </c>
      <c r="K149" s="8">
        <v>14565</v>
      </c>
      <c r="L149" s="8">
        <v>16391</v>
      </c>
      <c r="M149" s="8">
        <v>17106.270328287734</v>
      </c>
      <c r="N149" s="8">
        <v>18600.251794701591</v>
      </c>
    </row>
    <row r="150" spans="1:14" x14ac:dyDescent="0.25">
      <c r="A150" s="13" t="s">
        <v>150</v>
      </c>
      <c r="B150" s="7" t="s">
        <v>47</v>
      </c>
      <c r="C150" s="7" t="s">
        <v>48</v>
      </c>
      <c r="D150" s="7"/>
      <c r="E150" s="8">
        <v>66</v>
      </c>
      <c r="F150" s="8">
        <v>65.900000000000006</v>
      </c>
      <c r="G150" s="8">
        <v>63.8</v>
      </c>
      <c r="H150" s="8">
        <v>64.099999999999994</v>
      </c>
      <c r="I150" s="8">
        <v>63.1</v>
      </c>
      <c r="J150" s="8">
        <v>63.9</v>
      </c>
      <c r="K150" s="8">
        <v>64.461163999999997</v>
      </c>
      <c r="L150" s="8">
        <v>65.3</v>
      </c>
      <c r="M150" s="8">
        <v>65.211765350769568</v>
      </c>
      <c r="N150" s="8">
        <v>65.463259946705946</v>
      </c>
    </row>
    <row r="151" spans="1:14" x14ac:dyDescent="0.25">
      <c r="A151" s="13" t="s">
        <v>17</v>
      </c>
      <c r="B151" s="7"/>
      <c r="C151" s="7"/>
      <c r="D151" s="7"/>
      <c r="E151" s="8"/>
      <c r="F151" s="8"/>
      <c r="G151" s="8"/>
      <c r="H151" s="8"/>
      <c r="I151" s="8"/>
      <c r="J151" s="8"/>
      <c r="K151" s="8"/>
      <c r="L151" s="8"/>
      <c r="M151" s="8"/>
      <c r="N151" s="8"/>
    </row>
    <row r="152" spans="1:14" x14ac:dyDescent="0.25">
      <c r="A152" s="13" t="s">
        <v>151</v>
      </c>
      <c r="B152" s="7"/>
      <c r="C152" s="7"/>
      <c r="D152" s="7"/>
      <c r="E152" s="8"/>
      <c r="F152" s="8"/>
      <c r="G152" s="8"/>
      <c r="H152" s="8"/>
      <c r="I152" s="8"/>
      <c r="J152" s="8"/>
      <c r="K152" s="8"/>
      <c r="L152" s="8"/>
      <c r="M152" s="8"/>
      <c r="N152" s="8"/>
    </row>
    <row r="153" spans="1:14" x14ac:dyDescent="0.25">
      <c r="A153" s="13" t="s">
        <v>152</v>
      </c>
      <c r="B153" s="7" t="s">
        <v>153</v>
      </c>
      <c r="C153" s="7" t="s">
        <v>154</v>
      </c>
      <c r="D153" s="7"/>
      <c r="E153" s="8">
        <v>4614</v>
      </c>
      <c r="F153" s="8">
        <v>4984</v>
      </c>
      <c r="G153" s="8">
        <v>4755</v>
      </c>
      <c r="H153" s="8">
        <v>5752</v>
      </c>
      <c r="I153" s="8">
        <v>6035</v>
      </c>
      <c r="J153" s="8">
        <v>6851</v>
      </c>
      <c r="K153" s="8">
        <v>7436</v>
      </c>
      <c r="L153" s="8">
        <v>8221</v>
      </c>
      <c r="M153" s="8">
        <v>8854.7449436009392</v>
      </c>
      <c r="N153" s="8">
        <v>9510.9613306213396</v>
      </c>
    </row>
    <row r="154" spans="1:14" x14ac:dyDescent="0.25">
      <c r="A154" s="13" t="s">
        <v>155</v>
      </c>
      <c r="B154" s="7" t="s">
        <v>156</v>
      </c>
      <c r="C154" s="7" t="s">
        <v>157</v>
      </c>
      <c r="D154" s="7"/>
      <c r="E154" s="8">
        <v>33.92397617822219</v>
      </c>
      <c r="F154" s="8">
        <v>33.485622144584788</v>
      </c>
      <c r="G154" s="8">
        <v>33.133579541495365</v>
      </c>
      <c r="H154" s="8">
        <v>33.621697451484685</v>
      </c>
      <c r="I154" s="8">
        <v>32.711800097566261</v>
      </c>
      <c r="J154" s="8">
        <v>33.422772953458875</v>
      </c>
      <c r="K154" s="8">
        <v>32.909935826510292</v>
      </c>
      <c r="L154" s="8">
        <v>32.732122949514256</v>
      </c>
      <c r="M154" s="8">
        <v>32.412351681403152</v>
      </c>
      <c r="N154" s="8">
        <v>32.152303201019535</v>
      </c>
    </row>
    <row r="155" spans="1:14" x14ac:dyDescent="0.25">
      <c r="A155" s="13" t="s">
        <v>158</v>
      </c>
      <c r="B155" s="7" t="s">
        <v>159</v>
      </c>
      <c r="C155" s="7" t="s">
        <v>160</v>
      </c>
      <c r="D155" s="7"/>
      <c r="E155" s="8">
        <v>852</v>
      </c>
      <c r="F155" s="8">
        <v>915</v>
      </c>
      <c r="G155" s="8">
        <v>905</v>
      </c>
      <c r="H155" s="8">
        <v>1133</v>
      </c>
      <c r="I155" s="8">
        <v>1230</v>
      </c>
      <c r="J155" s="8">
        <v>1293</v>
      </c>
      <c r="K155" s="8">
        <v>1414</v>
      </c>
      <c r="L155" s="8">
        <v>1567</v>
      </c>
      <c r="M155" s="8">
        <v>1685.1598683659279</v>
      </c>
      <c r="N155" s="8">
        <v>1812.1634152747299</v>
      </c>
    </row>
    <row r="156" spans="1:14" x14ac:dyDescent="0.25">
      <c r="A156" s="13" t="s">
        <v>155</v>
      </c>
      <c r="B156" s="7" t="s">
        <v>161</v>
      </c>
      <c r="C156" s="7" t="s">
        <v>162</v>
      </c>
      <c r="D156" s="7"/>
      <c r="E156" s="8">
        <v>6.2642452760826401</v>
      </c>
      <c r="F156" s="8">
        <v>6.1475409836065573</v>
      </c>
      <c r="G156" s="8">
        <v>6.3061807539544281</v>
      </c>
      <c r="H156" s="8">
        <v>6.6226326864624738</v>
      </c>
      <c r="I156" s="8">
        <v>6.6670280231990899</v>
      </c>
      <c r="J156" s="8">
        <v>6.30793248121768</v>
      </c>
      <c r="K156" s="8">
        <v>6.2580216862137643</v>
      </c>
      <c r="L156" s="8">
        <v>6.2390508042681949</v>
      </c>
      <c r="M156" s="8">
        <v>6.1589033977226277</v>
      </c>
      <c r="N156" s="8">
        <v>6.1229152458644087</v>
      </c>
    </row>
    <row r="157" spans="1:14" x14ac:dyDescent="0.25">
      <c r="A157" s="13" t="s">
        <v>17</v>
      </c>
      <c r="B157" s="7"/>
      <c r="C157" s="7"/>
      <c r="D157" s="7"/>
      <c r="E157" s="8"/>
      <c r="F157" s="8"/>
      <c r="G157" s="8"/>
      <c r="H157" s="8"/>
      <c r="I157" s="8"/>
      <c r="J157" s="8"/>
      <c r="K157" s="8"/>
      <c r="L157" s="8"/>
      <c r="M157" s="8"/>
      <c r="N157" s="8"/>
    </row>
    <row r="158" spans="1:14" x14ac:dyDescent="0.25">
      <c r="A158" s="13" t="s">
        <v>163</v>
      </c>
      <c r="B158" s="7" t="s">
        <v>164</v>
      </c>
      <c r="C158" s="7" t="s">
        <v>165</v>
      </c>
      <c r="D158" s="7"/>
      <c r="E158" s="8">
        <v>3517</v>
      </c>
      <c r="F158" s="8">
        <v>3908</v>
      </c>
      <c r="G158" s="8">
        <v>3499</v>
      </c>
      <c r="H158" s="8">
        <v>4382</v>
      </c>
      <c r="I158" s="8">
        <v>4384</v>
      </c>
      <c r="J158" s="8">
        <v>4955</v>
      </c>
      <c r="K158" s="8">
        <v>5715</v>
      </c>
      <c r="L158" s="8">
        <v>6603</v>
      </c>
      <c r="M158" s="8">
        <v>7296.6923076923076</v>
      </c>
      <c r="N158" s="8">
        <v>8061.1111111111104</v>
      </c>
    </row>
    <row r="159" spans="1:14" x14ac:dyDescent="0.25">
      <c r="A159" s="13" t="s">
        <v>166</v>
      </c>
      <c r="B159" s="7" t="s">
        <v>50</v>
      </c>
      <c r="C159" s="7" t="s">
        <v>51</v>
      </c>
      <c r="D159" s="7"/>
      <c r="E159" s="8">
        <v>25.9</v>
      </c>
      <c r="F159" s="8">
        <v>26.3</v>
      </c>
      <c r="G159" s="8">
        <v>24.4</v>
      </c>
      <c r="H159" s="8">
        <v>25.6</v>
      </c>
      <c r="I159" s="8">
        <v>23.8</v>
      </c>
      <c r="J159" s="8">
        <v>24.2</v>
      </c>
      <c r="K159" s="8">
        <v>25.3</v>
      </c>
      <c r="L159" s="8">
        <v>26.3</v>
      </c>
      <c r="M159" s="8">
        <v>26.520947981339283</v>
      </c>
      <c r="N159" s="8">
        <v>27.099138946769504</v>
      </c>
    </row>
    <row r="160" spans="1:14" x14ac:dyDescent="0.25">
      <c r="A160" s="13" t="s">
        <v>17</v>
      </c>
      <c r="B160" s="7"/>
      <c r="C160" s="7"/>
      <c r="D160" s="7"/>
      <c r="E160" s="8"/>
      <c r="F160" s="8"/>
      <c r="G160" s="8"/>
      <c r="H160" s="8"/>
      <c r="I160" s="8"/>
      <c r="J160" s="8"/>
      <c r="K160" s="8"/>
      <c r="L160" s="8"/>
      <c r="M160" s="8"/>
      <c r="N160" s="8"/>
    </row>
    <row r="161" spans="1:14" x14ac:dyDescent="0.25">
      <c r="A161" s="13" t="s">
        <v>167</v>
      </c>
      <c r="B161" s="7" t="s">
        <v>168</v>
      </c>
      <c r="C161" s="7" t="s">
        <v>169</v>
      </c>
      <c r="D161" s="7"/>
      <c r="E161" s="8">
        <v>723</v>
      </c>
      <c r="F161" s="8">
        <v>778</v>
      </c>
      <c r="G161" s="8">
        <v>812</v>
      </c>
      <c r="H161" s="8">
        <v>990</v>
      </c>
      <c r="I161" s="8">
        <v>998</v>
      </c>
      <c r="J161" s="8">
        <v>1028</v>
      </c>
      <c r="K161" s="8">
        <v>1050</v>
      </c>
      <c r="L161" s="8">
        <v>1193</v>
      </c>
      <c r="M161" s="8">
        <v>1226.0842610869488</v>
      </c>
      <c r="N161" s="8">
        <v>1267.177498265241</v>
      </c>
    </row>
    <row r="162" spans="1:14" x14ac:dyDescent="0.25">
      <c r="A162" s="13" t="s">
        <v>170</v>
      </c>
      <c r="B162" s="7" t="s">
        <v>171</v>
      </c>
      <c r="C162" s="7" t="s">
        <v>172</v>
      </c>
      <c r="D162" s="7"/>
      <c r="E162" s="8">
        <v>306</v>
      </c>
      <c r="F162" s="8">
        <v>314</v>
      </c>
      <c r="G162" s="8">
        <v>340</v>
      </c>
      <c r="H162" s="8">
        <v>371</v>
      </c>
      <c r="I162" s="8">
        <v>371</v>
      </c>
      <c r="J162" s="8">
        <v>393</v>
      </c>
      <c r="K162" s="8">
        <v>427</v>
      </c>
      <c r="L162" s="8">
        <v>461</v>
      </c>
      <c r="M162" s="8">
        <v>517.54471592913399</v>
      </c>
      <c r="N162" s="8">
        <v>548.48941815630496</v>
      </c>
    </row>
    <row r="163" spans="1:14" x14ac:dyDescent="0.25">
      <c r="A163" s="13" t="s">
        <v>173</v>
      </c>
      <c r="B163" s="7" t="s">
        <v>174</v>
      </c>
      <c r="C163" s="7" t="s">
        <v>175</v>
      </c>
      <c r="D163" s="7"/>
      <c r="E163" s="8">
        <v>417</v>
      </c>
      <c r="F163" s="8">
        <v>464</v>
      </c>
      <c r="G163" s="8">
        <v>472</v>
      </c>
      <c r="H163" s="8">
        <v>619</v>
      </c>
      <c r="I163" s="8">
        <v>627</v>
      </c>
      <c r="J163" s="8">
        <v>635</v>
      </c>
      <c r="K163" s="8">
        <v>623</v>
      </c>
      <c r="L163" s="8">
        <v>732</v>
      </c>
      <c r="M163" s="8">
        <v>731.75153223883092</v>
      </c>
      <c r="N163" s="8">
        <v>739.27908889820526</v>
      </c>
    </row>
    <row r="164" spans="1:14" x14ac:dyDescent="0.25">
      <c r="A164" s="13" t="s">
        <v>176</v>
      </c>
      <c r="B164" s="7" t="s">
        <v>177</v>
      </c>
      <c r="C164" s="7" t="s">
        <v>178</v>
      </c>
      <c r="D164" s="7"/>
      <c r="E164" s="8">
        <v>3823</v>
      </c>
      <c r="F164" s="8">
        <v>4222</v>
      </c>
      <c r="G164" s="8">
        <v>3839</v>
      </c>
      <c r="H164" s="8">
        <v>4753</v>
      </c>
      <c r="I164" s="8">
        <v>4755</v>
      </c>
      <c r="J164" s="8">
        <v>5348</v>
      </c>
      <c r="K164" s="8">
        <v>6142</v>
      </c>
      <c r="L164" s="8">
        <v>7064</v>
      </c>
      <c r="M164" s="8">
        <v>7778.72</v>
      </c>
      <c r="N164" s="8">
        <v>8562.125</v>
      </c>
    </row>
    <row r="165" spans="1:14" x14ac:dyDescent="0.25">
      <c r="A165" s="13" t="s">
        <v>179</v>
      </c>
      <c r="B165" s="7" t="s">
        <v>180</v>
      </c>
      <c r="C165" s="7" t="s">
        <v>181</v>
      </c>
      <c r="D165" s="7"/>
      <c r="E165" s="8">
        <v>23.968825821630762</v>
      </c>
      <c r="F165" s="8">
        <v>24.348293469497449</v>
      </c>
      <c r="G165" s="8">
        <v>22.054212250017422</v>
      </c>
      <c r="H165" s="8">
        <v>21.668225391629647</v>
      </c>
      <c r="I165" s="8">
        <v>21.616347769526804</v>
      </c>
      <c r="J165" s="8">
        <v>24.821933847204605</v>
      </c>
      <c r="K165" s="8">
        <v>21.814560743527327</v>
      </c>
      <c r="L165" s="8">
        <v>25.031852205765247</v>
      </c>
      <c r="M165" s="8">
        <v>25.260817611089802</v>
      </c>
      <c r="N165" s="8">
        <v>25.329786530252793</v>
      </c>
    </row>
    <row r="166" spans="1:14" x14ac:dyDescent="0.25">
      <c r="A166" s="13" t="s">
        <v>17</v>
      </c>
      <c r="B166" s="7"/>
      <c r="C166" s="7"/>
      <c r="D166" s="7"/>
      <c r="E166" s="8"/>
      <c r="F166" s="8"/>
      <c r="G166" s="8"/>
      <c r="H166" s="8"/>
      <c r="I166" s="8"/>
      <c r="J166" s="8"/>
      <c r="K166" s="8"/>
      <c r="L166" s="8"/>
      <c r="M166" s="8"/>
      <c r="N166" s="8"/>
    </row>
    <row r="167" spans="1:14" x14ac:dyDescent="0.25">
      <c r="A167" s="13" t="s">
        <v>182</v>
      </c>
      <c r="B167" s="7" t="s">
        <v>183</v>
      </c>
      <c r="C167" s="7" t="s">
        <v>184</v>
      </c>
      <c r="D167" s="7"/>
      <c r="E167" s="8">
        <v>3336</v>
      </c>
      <c r="F167" s="8">
        <v>3757</v>
      </c>
      <c r="G167" s="8">
        <v>3230</v>
      </c>
      <c r="H167" s="8">
        <v>4083</v>
      </c>
      <c r="I167" s="8">
        <v>4151</v>
      </c>
      <c r="J167" s="8">
        <v>4732</v>
      </c>
      <c r="K167" s="8">
        <v>5519</v>
      </c>
      <c r="L167" s="8">
        <v>6201</v>
      </c>
      <c r="M167" s="8">
        <v>6872.739130434783</v>
      </c>
      <c r="N167" s="8">
        <v>7680.260869565217</v>
      </c>
    </row>
    <row r="168" spans="1:14" x14ac:dyDescent="0.25">
      <c r="A168" s="13" t="s">
        <v>17</v>
      </c>
      <c r="B168" s="7"/>
      <c r="C168" s="7"/>
      <c r="D168" s="7"/>
      <c r="E168" s="8"/>
      <c r="F168" s="8"/>
      <c r="G168" s="8"/>
      <c r="H168" s="8"/>
      <c r="I168" s="8"/>
      <c r="J168" s="8"/>
      <c r="K168" s="8"/>
      <c r="L168" s="8"/>
      <c r="M168" s="8"/>
      <c r="N168" s="8"/>
    </row>
    <row r="169" spans="1:14" x14ac:dyDescent="0.25">
      <c r="A169" s="13" t="s">
        <v>185</v>
      </c>
      <c r="B169" s="7" t="s">
        <v>186</v>
      </c>
      <c r="C169" s="7" t="s">
        <v>187</v>
      </c>
      <c r="D169" s="7"/>
      <c r="E169" s="8">
        <v>738</v>
      </c>
      <c r="F169" s="8">
        <v>588</v>
      </c>
      <c r="G169" s="8">
        <v>407</v>
      </c>
      <c r="H169" s="8">
        <v>609</v>
      </c>
      <c r="I169" s="8">
        <v>580</v>
      </c>
      <c r="J169" s="8">
        <v>666</v>
      </c>
      <c r="K169" s="8">
        <v>819</v>
      </c>
      <c r="L169" s="8">
        <v>934</v>
      </c>
      <c r="M169" s="8">
        <v>1054.1197362718044</v>
      </c>
      <c r="N169" s="8">
        <v>1179.4175414010424</v>
      </c>
    </row>
    <row r="170" spans="1:14" x14ac:dyDescent="0.25">
      <c r="A170" s="13" t="s">
        <v>188</v>
      </c>
      <c r="B170" s="7" t="s">
        <v>189</v>
      </c>
      <c r="C170" s="7" t="s">
        <v>190</v>
      </c>
      <c r="D170" s="7"/>
      <c r="E170" s="8">
        <v>16.7</v>
      </c>
      <c r="F170" s="8">
        <v>15.8</v>
      </c>
      <c r="G170" s="8">
        <v>12.6</v>
      </c>
      <c r="H170" s="8">
        <v>14.9</v>
      </c>
      <c r="I170" s="8">
        <v>14</v>
      </c>
      <c r="J170" s="8">
        <v>14.1</v>
      </c>
      <c r="K170" s="8">
        <v>14.8</v>
      </c>
      <c r="L170" s="8">
        <v>15.1</v>
      </c>
      <c r="M170" s="8">
        <v>15.496456925639169</v>
      </c>
      <c r="N170" s="8">
        <v>15.472156506437424</v>
      </c>
    </row>
    <row r="171" spans="1:14" x14ac:dyDescent="0.25">
      <c r="A171" s="13" t="s">
        <v>17</v>
      </c>
      <c r="B171" s="7"/>
      <c r="C171" s="7"/>
      <c r="D171" s="7"/>
      <c r="E171" s="8"/>
      <c r="F171" s="8"/>
      <c r="G171" s="8"/>
      <c r="H171" s="8"/>
      <c r="I171" s="8"/>
      <c r="J171" s="8"/>
      <c r="K171" s="8"/>
      <c r="L171" s="8"/>
      <c r="M171" s="8"/>
      <c r="N171" s="8"/>
    </row>
    <row r="172" spans="1:14" x14ac:dyDescent="0.25">
      <c r="A172" s="13" t="s">
        <v>191</v>
      </c>
      <c r="B172" s="7" t="s">
        <v>53</v>
      </c>
      <c r="C172" s="7" t="s">
        <v>54</v>
      </c>
      <c r="D172" s="7"/>
      <c r="E172" s="8">
        <v>2779</v>
      </c>
      <c r="F172" s="8">
        <v>3139</v>
      </c>
      <c r="G172" s="8">
        <v>2827</v>
      </c>
      <c r="H172" s="8">
        <v>3474</v>
      </c>
      <c r="I172" s="8">
        <v>3571</v>
      </c>
      <c r="J172" s="8">
        <v>4066</v>
      </c>
      <c r="K172" s="8">
        <v>4700</v>
      </c>
      <c r="L172" s="8">
        <v>5267</v>
      </c>
      <c r="M172" s="8">
        <v>5813.64</v>
      </c>
      <c r="N172" s="8">
        <v>6498.84</v>
      </c>
    </row>
    <row r="173" spans="1:14" x14ac:dyDescent="0.25">
      <c r="A173" s="13" t="s">
        <v>192</v>
      </c>
      <c r="B173" s="7" t="s">
        <v>193</v>
      </c>
      <c r="C173" s="7" t="s">
        <v>194</v>
      </c>
      <c r="D173" s="7"/>
      <c r="E173" s="8">
        <v>20.43232115285641</v>
      </c>
      <c r="F173" s="8">
        <v>21.089760816984683</v>
      </c>
      <c r="G173" s="8">
        <v>19.698975681137203</v>
      </c>
      <c r="H173" s="8">
        <v>20.306289455225627</v>
      </c>
      <c r="I173" s="8">
        <v>19.356062659222722</v>
      </c>
      <c r="J173" s="8">
        <v>19.836081568933555</v>
      </c>
      <c r="K173" s="8">
        <v>20.801062181898651</v>
      </c>
      <c r="L173" s="8">
        <v>20.970695970695971</v>
      </c>
      <c r="M173" s="8">
        <v>21.277674630309733</v>
      </c>
      <c r="N173" s="8">
        <v>21.992697233582373</v>
      </c>
    </row>
    <row r="174" spans="1:14" x14ac:dyDescent="0.25">
      <c r="A174" s="13" t="s">
        <v>17</v>
      </c>
      <c r="B174" s="7"/>
      <c r="C174" s="7"/>
      <c r="D174" s="7"/>
      <c r="E174" s="8"/>
      <c r="F174" s="8"/>
      <c r="G174" s="8"/>
      <c r="H174" s="8"/>
      <c r="I174" s="8"/>
      <c r="J174" s="8"/>
      <c r="K174" s="8"/>
      <c r="L174" s="8"/>
      <c r="M174" s="8"/>
      <c r="N174" s="8"/>
    </row>
    <row r="175" spans="1:14" x14ac:dyDescent="0.25">
      <c r="A175" s="13" t="s">
        <v>195</v>
      </c>
      <c r="B175" s="7" t="s">
        <v>196</v>
      </c>
      <c r="C175" s="7" t="s">
        <v>197</v>
      </c>
      <c r="D175" s="7"/>
      <c r="E175" s="8">
        <v>374.1</v>
      </c>
      <c r="F175" s="8">
        <v>374</v>
      </c>
      <c r="G175" s="8">
        <v>375.5</v>
      </c>
      <c r="H175" s="8">
        <v>377</v>
      </c>
      <c r="I175" s="8">
        <v>378.2</v>
      </c>
      <c r="J175" s="8">
        <v>379.6</v>
      </c>
      <c r="K175" s="8">
        <v>381</v>
      </c>
      <c r="L175" s="8">
        <v>382.2</v>
      </c>
      <c r="M175" s="8">
        <v>383.63124753616535</v>
      </c>
      <c r="N175" s="8">
        <v>382.94042011263224</v>
      </c>
    </row>
    <row r="176" spans="1:14" x14ac:dyDescent="0.25">
      <c r="A176" s="13" t="s">
        <v>198</v>
      </c>
      <c r="B176" s="7" t="s">
        <v>199</v>
      </c>
      <c r="C176" s="7" t="s">
        <v>200</v>
      </c>
      <c r="D176" s="7"/>
      <c r="E176" s="8">
        <v>380.3</v>
      </c>
      <c r="F176" s="8">
        <v>379.9</v>
      </c>
      <c r="G176" s="8">
        <v>380.3</v>
      </c>
      <c r="H176" s="8">
        <v>382.3</v>
      </c>
      <c r="I176" s="8">
        <v>382.2</v>
      </c>
      <c r="J176" s="8">
        <v>383.7</v>
      </c>
      <c r="K176" s="8">
        <v>385.6</v>
      </c>
      <c r="L176" s="8">
        <v>386.5</v>
      </c>
      <c r="M176" s="8">
        <v>386.75090579348438</v>
      </c>
      <c r="N176" s="8">
        <v>386.45822334842211</v>
      </c>
    </row>
    <row r="177" spans="1:14" x14ac:dyDescent="0.25">
      <c r="A177" s="13" t="s">
        <v>201</v>
      </c>
      <c r="B177" s="7" t="s">
        <v>9</v>
      </c>
      <c r="C177" s="7" t="s">
        <v>10</v>
      </c>
      <c r="D177" s="7"/>
      <c r="E177" s="8">
        <v>7.31</v>
      </c>
      <c r="F177" s="8">
        <v>8.26</v>
      </c>
      <c r="G177" s="8">
        <v>7.43</v>
      </c>
      <c r="H177" s="8">
        <v>9.09</v>
      </c>
      <c r="I177" s="8">
        <v>9.34</v>
      </c>
      <c r="J177" s="8">
        <v>10.6</v>
      </c>
      <c r="K177" s="8">
        <v>12.19</v>
      </c>
      <c r="L177" s="8">
        <v>13.63</v>
      </c>
      <c r="M177" s="8">
        <v>15.012333333333332</v>
      </c>
      <c r="N177" s="8">
        <v>16.776428571428575</v>
      </c>
    </row>
    <row r="178" spans="1:14" x14ac:dyDescent="0.25">
      <c r="A178" s="13" t="s">
        <v>17</v>
      </c>
      <c r="B178" s="7"/>
      <c r="C178" s="7"/>
      <c r="D178" s="7"/>
      <c r="E178" s="8"/>
      <c r="F178" s="8"/>
      <c r="G178" s="8"/>
      <c r="H178" s="8"/>
      <c r="I178" s="8"/>
      <c r="J178" s="8"/>
      <c r="K178" s="8"/>
      <c r="L178" s="8"/>
      <c r="M178" s="8"/>
      <c r="N178" s="8"/>
    </row>
    <row r="179" spans="1:14" x14ac:dyDescent="0.25">
      <c r="A179" s="13" t="s">
        <v>202</v>
      </c>
      <c r="B179" s="7" t="s">
        <v>203</v>
      </c>
      <c r="C179" s="7" t="s">
        <v>204</v>
      </c>
      <c r="D179" s="7"/>
      <c r="E179" s="8">
        <v>1.88</v>
      </c>
      <c r="F179" s="8">
        <v>2.08</v>
      </c>
      <c r="G179" s="8">
        <v>2.2999999999999998</v>
      </c>
      <c r="H179" s="8">
        <v>2.52</v>
      </c>
      <c r="I179" s="8">
        <v>2.78</v>
      </c>
      <c r="J179" s="8">
        <v>3</v>
      </c>
      <c r="K179" s="8">
        <v>3.2</v>
      </c>
      <c r="L179" s="8">
        <v>3.36</v>
      </c>
      <c r="M179" s="8">
        <v>3.5493750000000004</v>
      </c>
      <c r="N179" s="8">
        <v>3.8018749999999999</v>
      </c>
    </row>
    <row r="180" spans="1:14" x14ac:dyDescent="0.25">
      <c r="A180" s="13" t="s">
        <v>17</v>
      </c>
      <c r="B180" s="7"/>
      <c r="C180" s="7"/>
      <c r="D180" s="7"/>
      <c r="E180" s="8"/>
      <c r="F180" s="8"/>
      <c r="G180" s="8"/>
      <c r="H180" s="8"/>
      <c r="I180" s="8"/>
      <c r="J180" s="8"/>
      <c r="K180" s="8"/>
      <c r="L180" s="8"/>
      <c r="M180" s="8"/>
      <c r="N180" s="8"/>
    </row>
    <row r="181" spans="1:14" x14ac:dyDescent="0.25">
      <c r="A181" s="13" t="s">
        <v>205</v>
      </c>
      <c r="B181" s="7"/>
      <c r="C181" s="7"/>
      <c r="D181" s="7"/>
      <c r="E181" s="8"/>
      <c r="F181" s="8"/>
      <c r="G181" s="8"/>
      <c r="H181" s="8"/>
      <c r="I181" s="8"/>
      <c r="J181" s="8"/>
      <c r="K181" s="8"/>
      <c r="L181" s="8"/>
      <c r="M181" s="8"/>
      <c r="N181" s="8"/>
    </row>
    <row r="182" spans="1:14" x14ac:dyDescent="0.25">
      <c r="A182" s="13" t="s">
        <v>206</v>
      </c>
      <c r="B182" s="7" t="s">
        <v>207</v>
      </c>
      <c r="C182" s="7" t="s">
        <v>208</v>
      </c>
      <c r="D182" s="7"/>
      <c r="E182" s="8">
        <v>4663</v>
      </c>
      <c r="F182" s="8">
        <v>5188</v>
      </c>
      <c r="G182" s="8">
        <v>5294</v>
      </c>
      <c r="H182" s="8">
        <v>6140</v>
      </c>
      <c r="I182" s="8">
        <v>6871</v>
      </c>
      <c r="J182" s="8">
        <v>7440</v>
      </c>
      <c r="K182" s="8">
        <v>8155</v>
      </c>
      <c r="L182" s="8">
        <v>9051</v>
      </c>
      <c r="M182" s="8">
        <v>9555.4935938865237</v>
      </c>
      <c r="N182" s="8">
        <v>10266.696823851966</v>
      </c>
    </row>
    <row r="183" spans="1:14" x14ac:dyDescent="0.25">
      <c r="A183" s="13" t="s">
        <v>155</v>
      </c>
      <c r="B183" s="7" t="s">
        <v>209</v>
      </c>
      <c r="C183" s="7" t="s">
        <v>210</v>
      </c>
      <c r="D183" s="7"/>
      <c r="E183" s="8">
        <v>34.284243805602529</v>
      </c>
      <c r="F183" s="8">
        <v>34.856221445847893</v>
      </c>
      <c r="G183" s="8">
        <v>36.889415371751099</v>
      </c>
      <c r="H183" s="8">
        <v>35.889642272620996</v>
      </c>
      <c r="I183" s="8">
        <v>37.243211014147107</v>
      </c>
      <c r="J183" s="8">
        <v>36.296224021855785</v>
      </c>
      <c r="K183" s="8">
        <v>36.092055764549677</v>
      </c>
      <c r="L183" s="8">
        <v>36.036789297658864</v>
      </c>
      <c r="M183" s="8">
        <v>34.965505099973718</v>
      </c>
      <c r="N183" s="8">
        <v>34.626189877153166</v>
      </c>
    </row>
    <row r="184" spans="1:14" x14ac:dyDescent="0.25">
      <c r="A184" s="13" t="s">
        <v>211</v>
      </c>
      <c r="B184" s="7" t="s">
        <v>212</v>
      </c>
      <c r="C184" s="7" t="s">
        <v>213</v>
      </c>
      <c r="D184" s="7"/>
      <c r="E184" s="8">
        <v>8938</v>
      </c>
      <c r="F184" s="8">
        <v>9696</v>
      </c>
      <c r="G184" s="8">
        <v>9057</v>
      </c>
      <c r="H184" s="8">
        <v>10968</v>
      </c>
      <c r="I184" s="8">
        <v>11578</v>
      </c>
      <c r="J184" s="8">
        <v>13058</v>
      </c>
      <c r="K184" s="8">
        <v>14440</v>
      </c>
      <c r="L184" s="8">
        <v>16065</v>
      </c>
      <c r="M184" s="8">
        <v>17708.266476765628</v>
      </c>
      <c r="N184" s="8">
        <v>19262.504799470029</v>
      </c>
    </row>
    <row r="185" spans="1:14" x14ac:dyDescent="0.25">
      <c r="A185" s="13" t="s">
        <v>214</v>
      </c>
      <c r="B185" s="7" t="s">
        <v>215</v>
      </c>
      <c r="C185" s="7" t="s">
        <v>216</v>
      </c>
      <c r="D185" s="7"/>
      <c r="E185" s="8">
        <v>6401</v>
      </c>
      <c r="F185" s="8">
        <v>6983</v>
      </c>
      <c r="G185" s="8">
        <v>6834</v>
      </c>
      <c r="H185" s="8">
        <v>8384</v>
      </c>
      <c r="I185" s="8">
        <v>8737</v>
      </c>
      <c r="J185" s="8">
        <v>9170</v>
      </c>
      <c r="K185" s="8">
        <v>10751</v>
      </c>
      <c r="L185" s="8">
        <v>11176</v>
      </c>
      <c r="M185" s="8">
        <v>11660.923763009174</v>
      </c>
      <c r="N185" s="8">
        <v>12481.588693719028</v>
      </c>
    </row>
    <row r="186" spans="1:14" x14ac:dyDescent="0.25">
      <c r="A186" s="13" t="s">
        <v>155</v>
      </c>
      <c r="B186" s="7" t="s">
        <v>217</v>
      </c>
      <c r="C186" s="7" t="s">
        <v>218</v>
      </c>
      <c r="D186" s="7"/>
      <c r="E186" s="8">
        <v>47.062715976766412</v>
      </c>
      <c r="F186" s="8">
        <v>46.916151572158022</v>
      </c>
      <c r="G186" s="8">
        <v>47.620374886767472</v>
      </c>
      <c r="H186" s="8">
        <v>49.006312836100072</v>
      </c>
      <c r="I186" s="8">
        <v>47.357580356658893</v>
      </c>
      <c r="J186" s="8">
        <v>44.736071811884088</v>
      </c>
      <c r="K186" s="8">
        <v>47.581323301615406</v>
      </c>
      <c r="L186" s="8">
        <v>44.497531454053188</v>
      </c>
      <c r="M186" s="8">
        <v>41.346312675755065</v>
      </c>
      <c r="N186" s="8">
        <v>40.796564922285846</v>
      </c>
    </row>
    <row r="187" spans="1:14" x14ac:dyDescent="0.25">
      <c r="A187" s="13" t="s">
        <v>219</v>
      </c>
      <c r="B187" s="7" t="s">
        <v>220</v>
      </c>
      <c r="C187" s="7" t="s">
        <v>221</v>
      </c>
      <c r="D187" s="7"/>
      <c r="E187" s="8">
        <v>5099</v>
      </c>
      <c r="F187" s="8">
        <v>5356</v>
      </c>
      <c r="G187" s="8">
        <v>5361</v>
      </c>
      <c r="H187" s="8">
        <v>6427</v>
      </c>
      <c r="I187" s="8">
        <v>6455</v>
      </c>
      <c r="J187" s="8">
        <v>7129</v>
      </c>
      <c r="K187" s="8">
        <v>7685</v>
      </c>
      <c r="L187" s="8">
        <v>8651</v>
      </c>
      <c r="M187" s="8">
        <v>9054.1823032052034</v>
      </c>
      <c r="N187" s="8">
        <v>9733.9427471332965</v>
      </c>
    </row>
    <row r="188" spans="1:14" x14ac:dyDescent="0.25">
      <c r="A188" s="13" t="s">
        <v>222</v>
      </c>
      <c r="B188" s="7" t="s">
        <v>223</v>
      </c>
      <c r="C188" s="7" t="s">
        <v>224</v>
      </c>
      <c r="D188" s="7"/>
      <c r="E188" s="8">
        <v>37.489890449231673</v>
      </c>
      <c r="F188" s="8">
        <v>35.984950282182211</v>
      </c>
      <c r="G188" s="8">
        <v>37.3562817922096</v>
      </c>
      <c r="H188" s="8">
        <v>37.567220014028521</v>
      </c>
      <c r="I188" s="8">
        <v>34.98834625182937</v>
      </c>
      <c r="J188" s="8">
        <v>34.779002829544346</v>
      </c>
      <c r="K188" s="8">
        <v>34.011949546359816</v>
      </c>
      <c r="L188" s="8">
        <v>34.4441790093964</v>
      </c>
      <c r="M188" s="8">
        <v>33.676008626806443</v>
      </c>
      <c r="N188" s="8">
        <v>33.449340126804948</v>
      </c>
    </row>
    <row r="189" spans="1:14" x14ac:dyDescent="0.25">
      <c r="A189" s="13" t="s">
        <v>225</v>
      </c>
      <c r="B189" s="7" t="s">
        <v>226</v>
      </c>
      <c r="C189" s="7" t="s">
        <v>227</v>
      </c>
      <c r="D189" s="7"/>
      <c r="E189" s="8">
        <v>862</v>
      </c>
      <c r="F189" s="8">
        <v>971</v>
      </c>
      <c r="G189" s="8">
        <v>984</v>
      </c>
      <c r="H189" s="8">
        <v>1235</v>
      </c>
      <c r="I189" s="8">
        <v>1454</v>
      </c>
      <c r="J189" s="8">
        <v>1388</v>
      </c>
      <c r="K189" s="8">
        <v>1466</v>
      </c>
      <c r="L189" s="8">
        <v>1623</v>
      </c>
      <c r="M189" s="8">
        <v>1714.4260014142674</v>
      </c>
      <c r="N189" s="8">
        <v>1842.4963097174034</v>
      </c>
    </row>
    <row r="190" spans="1:14" x14ac:dyDescent="0.25">
      <c r="A190" s="13" t="s">
        <v>228</v>
      </c>
      <c r="B190" s="7" t="s">
        <v>229</v>
      </c>
      <c r="C190" s="7" t="s">
        <v>230</v>
      </c>
      <c r="D190" s="7"/>
      <c r="E190" s="8">
        <v>2537</v>
      </c>
      <c r="F190" s="8">
        <v>2713</v>
      </c>
      <c r="G190" s="8">
        <v>2223</v>
      </c>
      <c r="H190" s="8">
        <v>2584</v>
      </c>
      <c r="I190" s="8">
        <v>2841</v>
      </c>
      <c r="J190" s="8">
        <v>3888</v>
      </c>
      <c r="K190" s="8">
        <v>3689</v>
      </c>
      <c r="L190" s="8">
        <v>4889</v>
      </c>
      <c r="M190" s="8">
        <v>6223.8273692185185</v>
      </c>
      <c r="N190" s="8">
        <v>6994.6523728781358</v>
      </c>
    </row>
    <row r="191" spans="1:14" x14ac:dyDescent="0.25">
      <c r="A191" s="13" t="s">
        <v>231</v>
      </c>
      <c r="B191" s="7" t="s">
        <v>232</v>
      </c>
      <c r="C191" s="7" t="s">
        <v>233</v>
      </c>
      <c r="D191" s="7"/>
      <c r="E191" s="8">
        <v>181</v>
      </c>
      <c r="F191" s="8">
        <v>151</v>
      </c>
      <c r="G191" s="8">
        <v>269</v>
      </c>
      <c r="H191" s="8">
        <v>303</v>
      </c>
      <c r="I191" s="8">
        <v>158</v>
      </c>
      <c r="J191" s="8">
        <v>215</v>
      </c>
      <c r="K191" s="8">
        <v>197</v>
      </c>
      <c r="L191" s="8">
        <v>375</v>
      </c>
      <c r="M191" s="8">
        <v>417.96309815079951</v>
      </c>
      <c r="N191" s="8">
        <v>378.8312006454716</v>
      </c>
    </row>
    <row r="192" spans="1:14" x14ac:dyDescent="0.25">
      <c r="A192" s="13" t="s">
        <v>234</v>
      </c>
      <c r="B192" s="7" t="s">
        <v>235</v>
      </c>
      <c r="C192" s="7" t="s">
        <v>236</v>
      </c>
      <c r="D192" s="7"/>
      <c r="E192" s="8">
        <v>2356</v>
      </c>
      <c r="F192" s="8">
        <v>2562</v>
      </c>
      <c r="G192" s="8">
        <v>1954</v>
      </c>
      <c r="H192" s="8">
        <v>2281</v>
      </c>
      <c r="I192" s="8">
        <v>2683</v>
      </c>
      <c r="J192" s="8">
        <v>3673</v>
      </c>
      <c r="K192" s="8">
        <v>3492</v>
      </c>
      <c r="L192" s="8">
        <v>4514</v>
      </c>
      <c r="M192" s="8">
        <v>5979.5169539532853</v>
      </c>
      <c r="N192" s="8">
        <v>6777.6048537445977</v>
      </c>
    </row>
    <row r="193" spans="1:14" x14ac:dyDescent="0.25">
      <c r="A193" s="13" t="s">
        <v>237</v>
      </c>
      <c r="B193" s="7" t="s">
        <v>238</v>
      </c>
      <c r="C193" s="7" t="s">
        <v>239</v>
      </c>
      <c r="D193" s="7"/>
      <c r="E193" s="8">
        <v>-1197</v>
      </c>
      <c r="F193" s="8">
        <v>479</v>
      </c>
      <c r="G193" s="8">
        <v>355</v>
      </c>
      <c r="H193" s="8">
        <v>287</v>
      </c>
      <c r="I193" s="8">
        <v>325</v>
      </c>
      <c r="J193" s="8">
        <v>508</v>
      </c>
      <c r="K193" s="8">
        <v>499</v>
      </c>
      <c r="L193" s="8">
        <v>1268</v>
      </c>
      <c r="M193" s="8">
        <v>949.45302252525937</v>
      </c>
      <c r="N193" s="8">
        <v>1074.0217124943294</v>
      </c>
    </row>
    <row r="194" spans="1:14" x14ac:dyDescent="0.25">
      <c r="A194" s="13" t="s">
        <v>240</v>
      </c>
      <c r="B194" s="7" t="s">
        <v>241</v>
      </c>
      <c r="C194" s="7" t="s">
        <v>242</v>
      </c>
      <c r="D194" s="7"/>
      <c r="E194" s="8">
        <v>3553</v>
      </c>
      <c r="F194" s="8">
        <v>2083</v>
      </c>
      <c r="G194" s="8">
        <v>1599</v>
      </c>
      <c r="H194" s="8">
        <v>1994</v>
      </c>
      <c r="I194" s="8">
        <v>2358</v>
      </c>
      <c r="J194" s="8">
        <v>3165</v>
      </c>
      <c r="K194" s="8">
        <v>2993</v>
      </c>
      <c r="L194" s="8">
        <v>3246</v>
      </c>
      <c r="M194" s="8">
        <v>4839.1875</v>
      </c>
      <c r="N194" s="8">
        <v>5501.6875</v>
      </c>
    </row>
    <row r="195" spans="1:14" x14ac:dyDescent="0.25">
      <c r="A195" s="13" t="s">
        <v>243</v>
      </c>
      <c r="B195" s="7" t="s">
        <v>244</v>
      </c>
      <c r="C195" s="7" t="s">
        <v>245</v>
      </c>
      <c r="D195" s="7"/>
      <c r="E195" s="8">
        <v>26.123079185354019</v>
      </c>
      <c r="F195" s="8">
        <v>13.994893845740391</v>
      </c>
      <c r="G195" s="8">
        <v>11.142080691241029</v>
      </c>
      <c r="H195" s="8">
        <v>11.65536591068506</v>
      </c>
      <c r="I195" s="8">
        <v>12.781180551791424</v>
      </c>
      <c r="J195" s="8">
        <v>15.440530783491072</v>
      </c>
      <c r="K195" s="8">
        <v>13.246293427749503</v>
      </c>
      <c r="L195" s="8">
        <v>12.924032489249882</v>
      </c>
      <c r="M195" s="8">
        <v>18.269224541436351</v>
      </c>
      <c r="N195" s="8">
        <v>19.264514748854484</v>
      </c>
    </row>
    <row r="196" spans="1:14" x14ac:dyDescent="0.25">
      <c r="A196" s="13" t="s">
        <v>246</v>
      </c>
      <c r="B196" s="7" t="s">
        <v>247</v>
      </c>
      <c r="C196" s="7" t="s">
        <v>248</v>
      </c>
      <c r="D196" s="7"/>
      <c r="E196" s="8">
        <v>9.34</v>
      </c>
      <c r="F196" s="8">
        <v>5.48</v>
      </c>
      <c r="G196" s="8">
        <v>4.2</v>
      </c>
      <c r="H196" s="8">
        <v>5.21</v>
      </c>
      <c r="I196" s="8">
        <v>6.17</v>
      </c>
      <c r="J196" s="8">
        <v>8.25</v>
      </c>
      <c r="K196" s="8">
        <v>7.76</v>
      </c>
      <c r="L196" s="8">
        <v>8.4</v>
      </c>
      <c r="M196" s="8">
        <v>12.920588235294117</v>
      </c>
      <c r="N196" s="8">
        <v>14.585000000000001</v>
      </c>
    </row>
    <row r="197" spans="1:14" x14ac:dyDescent="0.25">
      <c r="A197" s="13" t="s">
        <v>17</v>
      </c>
      <c r="B197" s="7"/>
      <c r="C197" s="7"/>
      <c r="D197" s="7"/>
      <c r="E197" s="8"/>
      <c r="F197" s="8"/>
      <c r="G197" s="8"/>
      <c r="H197" s="8"/>
      <c r="I197" s="8"/>
      <c r="J197" s="8"/>
      <c r="K197" s="8"/>
      <c r="L197" s="8"/>
      <c r="M197" s="8"/>
      <c r="N197" s="8"/>
    </row>
    <row r="198" spans="1:14" x14ac:dyDescent="0.25">
      <c r="A198" s="13" t="s">
        <v>249</v>
      </c>
      <c r="B198" s="7"/>
      <c r="C198" s="7"/>
      <c r="D198" s="7"/>
      <c r="E198" s="8"/>
      <c r="F198" s="8"/>
      <c r="G198" s="8"/>
      <c r="H198" s="8"/>
      <c r="I198" s="8"/>
      <c r="J198" s="8"/>
      <c r="K198" s="8"/>
      <c r="L198" s="8"/>
      <c r="M198" s="8"/>
      <c r="N198" s="8"/>
    </row>
    <row r="199" spans="1:14" x14ac:dyDescent="0.25">
      <c r="A199" s="13" t="s">
        <v>250</v>
      </c>
      <c r="B199" s="7" t="s">
        <v>251</v>
      </c>
      <c r="C199" s="7" t="s">
        <v>252</v>
      </c>
      <c r="D199" s="7"/>
      <c r="E199" s="8">
        <v>220</v>
      </c>
      <c r="F199" s="8">
        <v>226</v>
      </c>
      <c r="G199" s="8">
        <v>458</v>
      </c>
      <c r="H199" s="8">
        <v>386</v>
      </c>
      <c r="I199" s="8">
        <v>349</v>
      </c>
      <c r="J199" s="8">
        <v>206</v>
      </c>
      <c r="K199" s="8">
        <v>138</v>
      </c>
      <c r="L199" s="8">
        <v>191</v>
      </c>
      <c r="M199" s="8">
        <v>140</v>
      </c>
      <c r="N199" s="8">
        <v>115</v>
      </c>
    </row>
    <row r="200" spans="1:14" x14ac:dyDescent="0.25">
      <c r="A200" s="13" t="s">
        <v>17</v>
      </c>
      <c r="B200" s="7"/>
      <c r="C200" s="7"/>
      <c r="D200" s="7"/>
      <c r="E200" s="8"/>
      <c r="F200" s="8"/>
      <c r="G200" s="8"/>
      <c r="H200" s="8"/>
      <c r="I200" s="8"/>
      <c r="J200" s="8"/>
      <c r="K200" s="8"/>
      <c r="L200" s="8"/>
      <c r="M200" s="8"/>
      <c r="N200" s="8"/>
    </row>
    <row r="201" spans="1:14" x14ac:dyDescent="0.25">
      <c r="A201" s="13" t="s">
        <v>253</v>
      </c>
      <c r="B201" s="7"/>
      <c r="C201" s="7"/>
      <c r="D201" s="7"/>
      <c r="E201" s="8"/>
      <c r="F201" s="8"/>
      <c r="G201" s="8"/>
      <c r="H201" s="8"/>
      <c r="I201" s="8"/>
      <c r="J201" s="8"/>
      <c r="K201" s="8"/>
      <c r="L201" s="8"/>
      <c r="M201" s="8"/>
      <c r="N201" s="8"/>
    </row>
    <row r="202" spans="1:14" x14ac:dyDescent="0.25">
      <c r="A202" s="13" t="s">
        <v>254</v>
      </c>
      <c r="B202" s="7"/>
      <c r="C202" s="7"/>
      <c r="D202" s="7"/>
      <c r="E202" s="8"/>
      <c r="F202" s="8"/>
      <c r="G202" s="8"/>
      <c r="H202" s="8"/>
      <c r="I202" s="8"/>
      <c r="J202" s="8"/>
      <c r="K202" s="8"/>
      <c r="L202" s="8"/>
      <c r="M202" s="8"/>
      <c r="N202" s="8"/>
    </row>
    <row r="203" spans="1:14" x14ac:dyDescent="0.25">
      <c r="A203" s="13" t="s">
        <v>255</v>
      </c>
      <c r="B203" s="7" t="s">
        <v>256</v>
      </c>
      <c r="C203" s="7" t="s">
        <v>257</v>
      </c>
      <c r="D203" s="7"/>
      <c r="E203" s="8">
        <v>8986</v>
      </c>
      <c r="F203" s="8">
        <v>11058</v>
      </c>
      <c r="G203" s="8">
        <v>9707</v>
      </c>
      <c r="H203" s="8">
        <v>10017</v>
      </c>
      <c r="I203" s="8">
        <v>10275</v>
      </c>
      <c r="J203" s="8">
        <v>12518</v>
      </c>
      <c r="K203" s="8">
        <v>14847</v>
      </c>
      <c r="L203" s="8">
        <v>14755</v>
      </c>
      <c r="M203" s="8">
        <v>18702.348063781283</v>
      </c>
      <c r="N203" s="8">
        <v>22653.68533112546</v>
      </c>
    </row>
    <row r="204" spans="1:14" x14ac:dyDescent="0.25">
      <c r="A204" s="13" t="s">
        <v>258</v>
      </c>
      <c r="B204" s="7" t="s">
        <v>259</v>
      </c>
      <c r="C204" s="7" t="s">
        <v>260</v>
      </c>
      <c r="D204" s="7"/>
      <c r="E204" s="8">
        <v>3699</v>
      </c>
      <c r="F204" s="8">
        <v>4425</v>
      </c>
      <c r="G204" s="8">
        <v>3024</v>
      </c>
      <c r="H204" s="8">
        <v>3019</v>
      </c>
      <c r="I204" s="8">
        <v>1928</v>
      </c>
      <c r="J204" s="8">
        <v>3053</v>
      </c>
      <c r="K204" s="8">
        <v>4493</v>
      </c>
      <c r="L204" s="8">
        <v>4100</v>
      </c>
      <c r="M204" s="8">
        <v>7567.1868523432004</v>
      </c>
      <c r="N204" s="8">
        <v>10517.652456569611</v>
      </c>
    </row>
    <row r="205" spans="1:14" x14ac:dyDescent="0.25">
      <c r="A205" s="13" t="s">
        <v>261</v>
      </c>
      <c r="B205" s="7" t="s">
        <v>262</v>
      </c>
      <c r="C205" s="7" t="s">
        <v>263</v>
      </c>
      <c r="D205" s="7"/>
      <c r="E205" s="8">
        <v>3699</v>
      </c>
      <c r="F205" s="8">
        <v>4337</v>
      </c>
      <c r="G205" s="8">
        <v>2943</v>
      </c>
      <c r="H205" s="8">
        <v>2944</v>
      </c>
      <c r="I205" s="8">
        <v>1844</v>
      </c>
      <c r="J205" s="8">
        <v>2971</v>
      </c>
      <c r="K205" s="8">
        <v>3652</v>
      </c>
      <c r="L205" s="8">
        <v>4011</v>
      </c>
      <c r="M205" s="8">
        <v>6900.787523638217</v>
      </c>
      <c r="N205" s="8">
        <v>10351.582400388423</v>
      </c>
    </row>
    <row r="206" spans="1:14" x14ac:dyDescent="0.25">
      <c r="A206" s="13" t="s">
        <v>264</v>
      </c>
      <c r="B206" s="7" t="s">
        <v>265</v>
      </c>
      <c r="C206" s="7" t="s">
        <v>266</v>
      </c>
      <c r="D206" s="7"/>
      <c r="E206" s="8">
        <v>83</v>
      </c>
      <c r="F206" s="8">
        <v>88</v>
      </c>
      <c r="G206" s="8">
        <v>81</v>
      </c>
      <c r="H206" s="8">
        <v>75</v>
      </c>
      <c r="I206" s="8">
        <v>84</v>
      </c>
      <c r="J206" s="8">
        <v>82</v>
      </c>
      <c r="K206" s="8">
        <v>841</v>
      </c>
      <c r="L206" s="8">
        <v>89</v>
      </c>
      <c r="M206" s="8">
        <v>87.6</v>
      </c>
      <c r="N206" s="8">
        <v>87.666666666666671</v>
      </c>
    </row>
    <row r="207" spans="1:14" x14ac:dyDescent="0.25">
      <c r="A207" s="13" t="s">
        <v>267</v>
      </c>
      <c r="B207" s="7" t="s">
        <v>268</v>
      </c>
      <c r="C207" s="7" t="s">
        <v>269</v>
      </c>
      <c r="D207" s="7"/>
      <c r="E207" s="8">
        <v>2332</v>
      </c>
      <c r="F207" s="8">
        <v>2893</v>
      </c>
      <c r="G207" s="8">
        <v>2701</v>
      </c>
      <c r="H207" s="8">
        <v>3022</v>
      </c>
      <c r="I207" s="8">
        <v>3565</v>
      </c>
      <c r="J207" s="8">
        <v>3765</v>
      </c>
      <c r="K207" s="8">
        <v>3987</v>
      </c>
      <c r="L207" s="8">
        <v>4039</v>
      </c>
      <c r="M207" s="8">
        <v>4509.3787170676651</v>
      </c>
      <c r="N207" s="8">
        <v>4874.7098588669824</v>
      </c>
    </row>
    <row r="208" spans="1:14" x14ac:dyDescent="0.25">
      <c r="A208" s="13" t="s">
        <v>270</v>
      </c>
      <c r="B208" s="7" t="s">
        <v>271</v>
      </c>
      <c r="C208" s="7" t="s">
        <v>272</v>
      </c>
      <c r="D208" s="7"/>
      <c r="E208" s="8">
        <v>2955</v>
      </c>
      <c r="F208" s="8">
        <v>2980</v>
      </c>
      <c r="G208" s="8">
        <v>3494</v>
      </c>
      <c r="H208" s="8">
        <v>3314</v>
      </c>
      <c r="I208" s="8">
        <v>3995</v>
      </c>
      <c r="J208" s="8">
        <v>4843</v>
      </c>
      <c r="K208" s="8">
        <v>4774</v>
      </c>
      <c r="L208" s="8">
        <v>5310</v>
      </c>
      <c r="M208" s="8">
        <v>5694.0722684165048</v>
      </c>
      <c r="N208" s="8">
        <v>6122.545509140532</v>
      </c>
    </row>
    <row r="209" spans="1:14" x14ac:dyDescent="0.25">
      <c r="A209" s="13" t="s">
        <v>273</v>
      </c>
      <c r="B209" s="7" t="s">
        <v>274</v>
      </c>
      <c r="C209" s="7" t="s">
        <v>275</v>
      </c>
      <c r="D209" s="7"/>
      <c r="E209" s="8">
        <v>747</v>
      </c>
      <c r="F209" s="8">
        <v>760</v>
      </c>
      <c r="G209" s="8">
        <v>488</v>
      </c>
      <c r="H209" s="8">
        <v>662</v>
      </c>
      <c r="I209" s="8">
        <v>787</v>
      </c>
      <c r="J209" s="8">
        <v>857</v>
      </c>
      <c r="K209" s="8">
        <v>1593</v>
      </c>
      <c r="L209" s="8">
        <v>1306</v>
      </c>
      <c r="M209" s="8">
        <v>1674.5343853941081</v>
      </c>
      <c r="N209" s="8">
        <v>1677.3400779303388</v>
      </c>
    </row>
    <row r="210" spans="1:14" x14ac:dyDescent="0.25">
      <c r="A210" s="13" t="s">
        <v>276</v>
      </c>
      <c r="B210" s="7" t="s">
        <v>277</v>
      </c>
      <c r="C210" s="7" t="s">
        <v>278</v>
      </c>
      <c r="D210" s="7"/>
      <c r="E210" s="8">
        <v>17496</v>
      </c>
      <c r="F210" s="8">
        <v>19109</v>
      </c>
      <c r="G210" s="8">
        <v>24623</v>
      </c>
      <c r="H210" s="8">
        <v>24614</v>
      </c>
      <c r="I210" s="8">
        <v>26609</v>
      </c>
      <c r="J210" s="8">
        <v>27394</v>
      </c>
      <c r="K210" s="8">
        <v>28124</v>
      </c>
      <c r="L210" s="8">
        <v>33089</v>
      </c>
      <c r="M210" s="8">
        <v>32641.522427120686</v>
      </c>
      <c r="N210" s="8">
        <v>32215.854981627024</v>
      </c>
    </row>
    <row r="211" spans="1:14" x14ac:dyDescent="0.25">
      <c r="A211" s="13" t="s">
        <v>279</v>
      </c>
      <c r="B211" s="7" t="s">
        <v>280</v>
      </c>
      <c r="C211" s="7" t="s">
        <v>281</v>
      </c>
      <c r="D211" s="7"/>
      <c r="E211" s="8">
        <v>2291</v>
      </c>
      <c r="F211" s="8">
        <v>2567</v>
      </c>
      <c r="G211" s="8">
        <v>2752</v>
      </c>
      <c r="H211" s="8">
        <v>2833</v>
      </c>
      <c r="I211" s="8">
        <v>2970</v>
      </c>
      <c r="J211" s="8">
        <v>3215</v>
      </c>
      <c r="K211" s="8">
        <v>3448</v>
      </c>
      <c r="L211" s="8">
        <v>3876</v>
      </c>
      <c r="M211" s="8">
        <v>4084.9006803588372</v>
      </c>
      <c r="N211" s="8">
        <v>4370.9680860734834</v>
      </c>
    </row>
    <row r="212" spans="1:14" x14ac:dyDescent="0.25">
      <c r="A212" s="13" t="s">
        <v>282</v>
      </c>
      <c r="B212" s="7" t="s">
        <v>283</v>
      </c>
      <c r="C212" s="7" t="s">
        <v>284</v>
      </c>
      <c r="D212" s="7"/>
      <c r="E212" s="8">
        <v>4277</v>
      </c>
      <c r="F212" s="8">
        <v>4714</v>
      </c>
      <c r="G212" s="8">
        <v>5182</v>
      </c>
      <c r="H212" s="8">
        <v>5498</v>
      </c>
      <c r="I212" s="8">
        <v>5805</v>
      </c>
      <c r="J212" s="8">
        <v>6344</v>
      </c>
      <c r="K212" s="8">
        <v>6683</v>
      </c>
      <c r="L212" s="8">
        <v>7537</v>
      </c>
      <c r="M212" s="8">
        <v>8825.1539139999986</v>
      </c>
      <c r="N212" s="8">
        <v>9719.0133611500005</v>
      </c>
    </row>
    <row r="213" spans="1:14" x14ac:dyDescent="0.25">
      <c r="A213" s="13" t="s">
        <v>285</v>
      </c>
      <c r="B213" s="7" t="s">
        <v>286</v>
      </c>
      <c r="C213" s="7" t="s">
        <v>287</v>
      </c>
      <c r="D213" s="7"/>
      <c r="E213" s="8">
        <v>1986</v>
      </c>
      <c r="F213" s="8">
        <v>2147</v>
      </c>
      <c r="G213" s="8">
        <v>2430</v>
      </c>
      <c r="H213" s="8">
        <v>2665</v>
      </c>
      <c r="I213" s="8">
        <v>2835</v>
      </c>
      <c r="J213" s="8">
        <v>3129</v>
      </c>
      <c r="K213" s="8">
        <v>3235</v>
      </c>
      <c r="L213" s="8">
        <v>3661</v>
      </c>
      <c r="M213" s="8">
        <v>4168.4369952222223</v>
      </c>
      <c r="N213" s="8">
        <v>4708.3821819527775</v>
      </c>
    </row>
    <row r="214" spans="1:14" x14ac:dyDescent="0.25">
      <c r="A214" s="13" t="s">
        <v>288</v>
      </c>
      <c r="B214" s="7" t="s">
        <v>289</v>
      </c>
      <c r="C214" s="7" t="s">
        <v>290</v>
      </c>
      <c r="D214" s="7"/>
      <c r="E214" s="8">
        <v>1678</v>
      </c>
      <c r="F214" s="8">
        <v>1575</v>
      </c>
      <c r="G214" s="8">
        <v>1530</v>
      </c>
      <c r="H214" s="8">
        <v>1760</v>
      </c>
      <c r="I214" s="8">
        <v>1410</v>
      </c>
      <c r="J214" s="8">
        <v>1670</v>
      </c>
      <c r="K214" s="8">
        <v>1742</v>
      </c>
      <c r="L214" s="8">
        <v>1098</v>
      </c>
      <c r="M214" s="8">
        <v>1271.3333333333333</v>
      </c>
      <c r="N214" s="8">
        <v>1254.6666666666667</v>
      </c>
    </row>
    <row r="215" spans="1:14" x14ac:dyDescent="0.25">
      <c r="A215" s="13" t="s">
        <v>291</v>
      </c>
      <c r="B215" s="7" t="s">
        <v>292</v>
      </c>
      <c r="C215" s="7" t="s">
        <v>293</v>
      </c>
      <c r="D215" s="7"/>
      <c r="E215" s="8">
        <v>12726</v>
      </c>
      <c r="F215" s="8">
        <v>13296</v>
      </c>
      <c r="G215" s="8">
        <v>18332</v>
      </c>
      <c r="H215" s="8">
        <v>17758</v>
      </c>
      <c r="I215" s="8">
        <v>19765</v>
      </c>
      <c r="J215" s="8">
        <v>19836</v>
      </c>
      <c r="K215" s="8">
        <v>20250</v>
      </c>
      <c r="L215" s="8">
        <v>24972</v>
      </c>
      <c r="M215" s="8">
        <v>22748.313203705577</v>
      </c>
      <c r="N215" s="8">
        <v>22198.171881161546</v>
      </c>
    </row>
    <row r="216" spans="1:14" x14ac:dyDescent="0.25">
      <c r="A216" s="13" t="s">
        <v>294</v>
      </c>
      <c r="B216" s="7" t="s">
        <v>295</v>
      </c>
      <c r="C216" s="7" t="s">
        <v>296</v>
      </c>
      <c r="D216" s="7"/>
      <c r="E216" s="8">
        <v>0</v>
      </c>
      <c r="F216" s="8">
        <v>9069</v>
      </c>
      <c r="G216" s="8">
        <v>12778</v>
      </c>
      <c r="H216" s="8">
        <v>12918</v>
      </c>
      <c r="I216" s="8">
        <v>14880</v>
      </c>
      <c r="J216" s="8">
        <v>15243</v>
      </c>
      <c r="K216" s="8">
        <v>15855</v>
      </c>
      <c r="L216" s="8">
        <v>19291</v>
      </c>
      <c r="M216" s="8">
        <v>19883.930266058909</v>
      </c>
      <c r="N216" s="8">
        <v>20065.589735040536</v>
      </c>
    </row>
    <row r="217" spans="1:14" x14ac:dyDescent="0.25">
      <c r="A217" s="13" t="s">
        <v>297</v>
      </c>
      <c r="B217" s="7" t="s">
        <v>298</v>
      </c>
      <c r="C217" s="7" t="s">
        <v>299</v>
      </c>
      <c r="D217" s="7"/>
      <c r="E217" s="8">
        <v>4163</v>
      </c>
      <c r="F217" s="8">
        <v>4227</v>
      </c>
      <c r="G217" s="8">
        <v>5554</v>
      </c>
      <c r="H217" s="8">
        <v>4840</v>
      </c>
      <c r="I217" s="8">
        <v>4885</v>
      </c>
      <c r="J217" s="8">
        <v>4593</v>
      </c>
      <c r="K217" s="8">
        <v>4395</v>
      </c>
      <c r="L217" s="8">
        <v>5681</v>
      </c>
      <c r="M217" s="8">
        <v>4408.3441119121126</v>
      </c>
      <c r="N217" s="8">
        <v>3713.7119301665498</v>
      </c>
    </row>
    <row r="218" spans="1:14" x14ac:dyDescent="0.25">
      <c r="A218" s="13" t="s">
        <v>98</v>
      </c>
      <c r="B218" s="7" t="s">
        <v>300</v>
      </c>
      <c r="C218" s="7" t="s">
        <v>301</v>
      </c>
      <c r="D218" s="7"/>
      <c r="E218" s="8">
        <v>801</v>
      </c>
      <c r="F218" s="8">
        <v>1671</v>
      </c>
      <c r="G218" s="8">
        <v>2009</v>
      </c>
      <c r="H218" s="8">
        <v>2263</v>
      </c>
      <c r="I218" s="8">
        <v>2464</v>
      </c>
      <c r="J218" s="8">
        <v>2673</v>
      </c>
      <c r="K218" s="8">
        <v>2684</v>
      </c>
      <c r="L218" s="8">
        <v>3143</v>
      </c>
      <c r="M218" s="8">
        <v>3154.6666666666665</v>
      </c>
      <c r="N218" s="8">
        <v>3154.6666666666665</v>
      </c>
    </row>
    <row r="219" spans="1:14" x14ac:dyDescent="0.25">
      <c r="A219" s="13" t="s">
        <v>302</v>
      </c>
      <c r="B219" s="7" t="s">
        <v>303</v>
      </c>
      <c r="C219" s="7" t="s">
        <v>304</v>
      </c>
      <c r="D219" s="7"/>
      <c r="E219" s="8">
        <v>11277</v>
      </c>
      <c r="F219" s="8">
        <v>30167</v>
      </c>
      <c r="G219" s="8">
        <v>34330</v>
      </c>
      <c r="H219" s="8">
        <v>34631</v>
      </c>
      <c r="I219" s="8">
        <v>36884</v>
      </c>
      <c r="J219" s="8">
        <v>39912</v>
      </c>
      <c r="K219" s="8">
        <v>42971</v>
      </c>
      <c r="L219" s="8">
        <v>47844</v>
      </c>
      <c r="M219" s="8">
        <v>51230.817537081828</v>
      </c>
      <c r="N219" s="8">
        <v>55240.818547636758</v>
      </c>
    </row>
    <row r="220" spans="1:14" x14ac:dyDescent="0.25">
      <c r="A220" s="13" t="s">
        <v>17</v>
      </c>
      <c r="B220" s="7"/>
      <c r="C220" s="7"/>
      <c r="D220" s="7"/>
      <c r="E220" s="8"/>
      <c r="F220" s="8"/>
      <c r="G220" s="8"/>
      <c r="H220" s="8"/>
      <c r="I220" s="8"/>
      <c r="J220" s="8"/>
      <c r="K220" s="8"/>
      <c r="L220" s="8"/>
      <c r="M220" s="8"/>
      <c r="N220" s="8"/>
    </row>
    <row r="221" spans="1:14" x14ac:dyDescent="0.25">
      <c r="A221" s="13" t="s">
        <v>305</v>
      </c>
      <c r="B221" s="7"/>
      <c r="C221" s="7"/>
      <c r="D221" s="7"/>
      <c r="E221" s="8"/>
      <c r="F221" s="8"/>
      <c r="G221" s="8"/>
      <c r="H221" s="8"/>
      <c r="I221" s="8"/>
      <c r="J221" s="8"/>
      <c r="K221" s="8"/>
      <c r="L221" s="8"/>
      <c r="M221" s="8"/>
      <c r="N221" s="8"/>
    </row>
    <row r="222" spans="1:14" x14ac:dyDescent="0.25">
      <c r="A222" s="13" t="s">
        <v>306</v>
      </c>
      <c r="B222" s="7" t="s">
        <v>307</v>
      </c>
      <c r="C222" s="7" t="s">
        <v>308</v>
      </c>
      <c r="D222" s="7"/>
      <c r="E222" s="8">
        <v>4807</v>
      </c>
      <c r="F222" s="8">
        <v>4400</v>
      </c>
      <c r="G222" s="8">
        <v>5041</v>
      </c>
      <c r="H222" s="8">
        <v>4549</v>
      </c>
      <c r="I222" s="8">
        <v>6303</v>
      </c>
      <c r="J222" s="8">
        <v>7921</v>
      </c>
      <c r="K222" s="8">
        <v>7616</v>
      </c>
      <c r="L222" s="8">
        <v>7794</v>
      </c>
      <c r="M222" s="8">
        <v>7348.4524613624826</v>
      </c>
      <c r="N222" s="8">
        <v>8237.6302467140413</v>
      </c>
    </row>
    <row r="223" spans="1:14" x14ac:dyDescent="0.25">
      <c r="A223" s="13" t="s">
        <v>309</v>
      </c>
      <c r="B223" s="7" t="s">
        <v>310</v>
      </c>
      <c r="C223" s="7" t="s">
        <v>311</v>
      </c>
      <c r="D223" s="7"/>
      <c r="E223" s="8">
        <v>646</v>
      </c>
      <c r="F223" s="8">
        <v>675</v>
      </c>
      <c r="G223" s="8">
        <v>810</v>
      </c>
      <c r="H223" s="8">
        <v>1129</v>
      </c>
      <c r="I223" s="8">
        <v>1413</v>
      </c>
      <c r="J223" s="8">
        <v>1517</v>
      </c>
      <c r="K223" s="8">
        <v>1679</v>
      </c>
      <c r="L223" s="8">
        <v>1799</v>
      </c>
      <c r="M223" s="8">
        <v>1691.5372754395253</v>
      </c>
      <c r="N223" s="8">
        <v>1860.7185553793772</v>
      </c>
    </row>
    <row r="224" spans="1:14" x14ac:dyDescent="0.25">
      <c r="A224" s="13" t="s">
        <v>312</v>
      </c>
      <c r="B224" s="7" t="s">
        <v>313</v>
      </c>
      <c r="C224" s="7" t="s">
        <v>314</v>
      </c>
      <c r="D224" s="7"/>
      <c r="E224" s="8">
        <v>158</v>
      </c>
      <c r="F224" s="8">
        <v>171</v>
      </c>
      <c r="G224" s="8">
        <v>207</v>
      </c>
      <c r="H224" s="8">
        <v>192</v>
      </c>
      <c r="I224" s="8">
        <v>292</v>
      </c>
      <c r="J224" s="8">
        <v>391</v>
      </c>
      <c r="K224" s="8">
        <v>539</v>
      </c>
      <c r="L224" s="8">
        <v>418</v>
      </c>
      <c r="M224" s="8">
        <v>280.90775279288385</v>
      </c>
      <c r="N224" s="8">
        <v>323.01005808583386</v>
      </c>
    </row>
    <row r="225" spans="1:14" x14ac:dyDescent="0.25">
      <c r="A225" s="13" t="s">
        <v>315</v>
      </c>
      <c r="B225" s="7" t="s">
        <v>316</v>
      </c>
      <c r="C225" s="7" t="s">
        <v>317</v>
      </c>
      <c r="D225" s="7"/>
      <c r="E225" s="8">
        <v>192</v>
      </c>
      <c r="F225" s="8">
        <v>213</v>
      </c>
      <c r="G225" s="8">
        <v>237</v>
      </c>
      <c r="H225" s="8">
        <v>263</v>
      </c>
      <c r="I225" s="8">
        <v>284</v>
      </c>
      <c r="J225" s="8">
        <v>304</v>
      </c>
      <c r="K225" s="8">
        <v>320</v>
      </c>
      <c r="L225" s="8">
        <v>337</v>
      </c>
      <c r="M225" s="8">
        <v>320.32684756711154</v>
      </c>
      <c r="N225" s="8">
        <v>336.12156922197181</v>
      </c>
    </row>
    <row r="226" spans="1:14" x14ac:dyDescent="0.25">
      <c r="A226" s="13" t="s">
        <v>318</v>
      </c>
      <c r="B226" s="7" t="s">
        <v>319</v>
      </c>
      <c r="C226" s="7" t="s">
        <v>320</v>
      </c>
      <c r="D226" s="7"/>
      <c r="E226" s="8">
        <v>917</v>
      </c>
      <c r="F226" s="8">
        <v>955</v>
      </c>
      <c r="G226" s="8">
        <v>925</v>
      </c>
      <c r="H226" s="8">
        <v>1092</v>
      </c>
      <c r="I226" s="8">
        <v>1149</v>
      </c>
      <c r="J226" s="8">
        <v>1478</v>
      </c>
      <c r="K226" s="8">
        <v>1403</v>
      </c>
      <c r="L226" s="8">
        <v>1595</v>
      </c>
      <c r="M226" s="8">
        <v>1408.3123720468641</v>
      </c>
      <c r="N226" s="8">
        <v>1506.0267424783492</v>
      </c>
    </row>
    <row r="227" spans="1:14" x14ac:dyDescent="0.25">
      <c r="A227" s="13" t="s">
        <v>321</v>
      </c>
      <c r="B227" s="7" t="s">
        <v>322</v>
      </c>
      <c r="C227" s="7" t="s">
        <v>323</v>
      </c>
      <c r="D227" s="7"/>
      <c r="E227" s="8">
        <v>1521</v>
      </c>
      <c r="F227" s="8">
        <v>1196</v>
      </c>
      <c r="G227" s="8">
        <v>1586</v>
      </c>
      <c r="H227" s="8">
        <v>1465</v>
      </c>
      <c r="I227" s="8">
        <v>1744</v>
      </c>
      <c r="J227" s="8">
        <v>1928</v>
      </c>
      <c r="K227" s="8">
        <v>2266</v>
      </c>
      <c r="L227" s="8">
        <v>2645</v>
      </c>
      <c r="M227" s="8">
        <v>2460.6374799625769</v>
      </c>
      <c r="N227" s="8">
        <v>2570.92164114855</v>
      </c>
    </row>
    <row r="228" spans="1:14" x14ac:dyDescent="0.25">
      <c r="A228" s="13" t="s">
        <v>324</v>
      </c>
      <c r="B228" s="7" t="s">
        <v>325</v>
      </c>
      <c r="C228" s="7" t="s">
        <v>326</v>
      </c>
      <c r="D228" s="7"/>
      <c r="E228" s="8">
        <v>1373</v>
      </c>
      <c r="F228" s="8">
        <v>859</v>
      </c>
      <c r="G228" s="8">
        <v>761</v>
      </c>
      <c r="H228" s="8">
        <v>7</v>
      </c>
      <c r="I228" s="8">
        <v>1191</v>
      </c>
      <c r="J228" s="8">
        <v>2094</v>
      </c>
      <c r="K228" s="8">
        <v>1409</v>
      </c>
      <c r="L228" s="8">
        <v>1000</v>
      </c>
      <c r="M228" s="8">
        <v>1393.9618881650081</v>
      </c>
      <c r="N228" s="8">
        <v>1687.5132090722313</v>
      </c>
    </row>
    <row r="229" spans="1:14" x14ac:dyDescent="0.25">
      <c r="A229" s="13" t="s">
        <v>98</v>
      </c>
      <c r="B229" s="7" t="s">
        <v>327</v>
      </c>
      <c r="C229" s="7" t="s">
        <v>328</v>
      </c>
      <c r="D229" s="7"/>
      <c r="E229" s="8">
        <v>2788</v>
      </c>
      <c r="F229" s="8">
        <v>2780</v>
      </c>
      <c r="G229" s="8">
        <v>3361</v>
      </c>
      <c r="H229" s="8">
        <v>3301</v>
      </c>
      <c r="I229" s="8">
        <v>3578</v>
      </c>
      <c r="J229" s="8">
        <v>4167</v>
      </c>
      <c r="K229" s="8">
        <v>4384</v>
      </c>
      <c r="L229" s="8">
        <v>4842</v>
      </c>
      <c r="M229" s="8">
        <v>4676.812794524667</v>
      </c>
      <c r="N229" s="8">
        <v>4926.0033775417442</v>
      </c>
    </row>
    <row r="230" spans="1:14" x14ac:dyDescent="0.25">
      <c r="A230" s="13" t="s">
        <v>329</v>
      </c>
      <c r="B230" s="7"/>
      <c r="C230" s="7"/>
      <c r="D230" s="7"/>
      <c r="E230" s="8"/>
      <c r="F230" s="8"/>
      <c r="G230" s="8"/>
      <c r="H230" s="8"/>
      <c r="I230" s="8"/>
      <c r="J230" s="8"/>
      <c r="K230" s="8"/>
      <c r="L230" s="8"/>
      <c r="M230" s="8"/>
      <c r="N230" s="8"/>
    </row>
    <row r="231" spans="1:14" x14ac:dyDescent="0.25">
      <c r="A231" s="13" t="s">
        <v>330</v>
      </c>
      <c r="B231" s="7" t="s">
        <v>331</v>
      </c>
      <c r="C231" s="7" t="s">
        <v>332</v>
      </c>
      <c r="D231" s="7"/>
      <c r="E231" s="8">
        <v>8486</v>
      </c>
      <c r="F231" s="8">
        <v>10231</v>
      </c>
      <c r="G231" s="8">
        <v>13230</v>
      </c>
      <c r="H231" s="8">
        <v>12472</v>
      </c>
      <c r="I231" s="8">
        <v>11857</v>
      </c>
      <c r="J231" s="8">
        <v>10901</v>
      </c>
      <c r="K231" s="8">
        <v>12188</v>
      </c>
      <c r="L231" s="8">
        <v>14859</v>
      </c>
      <c r="M231" s="8">
        <v>14278.955307692308</v>
      </c>
      <c r="N231" s="8">
        <v>13263.409916666666</v>
      </c>
    </row>
    <row r="232" spans="1:14" x14ac:dyDescent="0.25">
      <c r="A232" s="13" t="s">
        <v>333</v>
      </c>
      <c r="B232" s="7" t="s">
        <v>334</v>
      </c>
      <c r="C232" s="7" t="s">
        <v>335</v>
      </c>
      <c r="D232" s="7"/>
      <c r="E232" s="8">
        <v>2206</v>
      </c>
      <c r="F232" s="8">
        <v>2428</v>
      </c>
      <c r="G232" s="8">
        <v>2650</v>
      </c>
      <c r="H232" s="8">
        <v>2423</v>
      </c>
      <c r="I232" s="8">
        <v>1751</v>
      </c>
      <c r="J232" s="8">
        <v>2141</v>
      </c>
      <c r="K232" s="8">
        <v>2154</v>
      </c>
      <c r="L232" s="8">
        <v>2423</v>
      </c>
      <c r="M232" s="8">
        <v>2636</v>
      </c>
      <c r="N232" s="8">
        <v>2636</v>
      </c>
    </row>
    <row r="233" spans="1:14" x14ac:dyDescent="0.25">
      <c r="A233" s="13" t="s">
        <v>336</v>
      </c>
      <c r="B233" s="7" t="s">
        <v>337</v>
      </c>
      <c r="C233" s="7" t="s">
        <v>338</v>
      </c>
      <c r="D233" s="7"/>
      <c r="E233" s="8">
        <v>1228</v>
      </c>
      <c r="F233" s="8">
        <v>1068</v>
      </c>
      <c r="G233" s="8">
        <v>990</v>
      </c>
      <c r="H233" s="8">
        <v>913</v>
      </c>
      <c r="I233" s="8">
        <v>641</v>
      </c>
      <c r="J233" s="8">
        <v>567</v>
      </c>
      <c r="K233" s="8">
        <v>349</v>
      </c>
      <c r="L233" s="8">
        <v>402</v>
      </c>
      <c r="M233" s="8">
        <v>375</v>
      </c>
      <c r="N233" s="8">
        <v>366.66666666666669</v>
      </c>
    </row>
    <row r="234" spans="1:14" x14ac:dyDescent="0.25">
      <c r="A234" s="13" t="s">
        <v>98</v>
      </c>
      <c r="B234" s="7" t="s">
        <v>339</v>
      </c>
      <c r="C234" s="7" t="s">
        <v>340</v>
      </c>
      <c r="D234" s="7"/>
      <c r="E234" s="8">
        <v>978</v>
      </c>
      <c r="F234" s="8">
        <v>1661</v>
      </c>
      <c r="G234" s="8">
        <v>1985</v>
      </c>
      <c r="H234" s="8">
        <v>1820</v>
      </c>
      <c r="I234" s="8">
        <v>1467</v>
      </c>
      <c r="J234" s="8">
        <v>1930</v>
      </c>
      <c r="K234" s="8">
        <v>2184</v>
      </c>
      <c r="L234" s="8">
        <v>2369</v>
      </c>
      <c r="M234" s="8">
        <v>2296.8796390222924</v>
      </c>
      <c r="N234" s="8">
        <v>2282.4440140550469</v>
      </c>
    </row>
    <row r="235" spans="1:14" x14ac:dyDescent="0.25">
      <c r="A235" s="13" t="s">
        <v>341</v>
      </c>
      <c r="B235" s="7" t="s">
        <v>342</v>
      </c>
      <c r="C235" s="7" t="s">
        <v>343</v>
      </c>
      <c r="D235" s="7"/>
      <c r="E235" s="8">
        <v>15499</v>
      </c>
      <c r="F235" s="8">
        <v>17360</v>
      </c>
      <c r="G235" s="8">
        <v>21246</v>
      </c>
      <c r="H235" s="8">
        <v>19754</v>
      </c>
      <c r="I235" s="8">
        <v>20268</v>
      </c>
      <c r="J235" s="8">
        <v>21319</v>
      </c>
      <c r="K235" s="8">
        <v>22337</v>
      </c>
      <c r="L235" s="8">
        <v>25424</v>
      </c>
      <c r="M235" s="8">
        <v>24501.186278315585</v>
      </c>
      <c r="N235" s="8">
        <v>24464.85891413123</v>
      </c>
    </row>
    <row r="236" spans="1:14" x14ac:dyDescent="0.25">
      <c r="A236" s="13" t="s">
        <v>344</v>
      </c>
      <c r="B236" s="7" t="s">
        <v>345</v>
      </c>
      <c r="C236" s="7" t="s">
        <v>346</v>
      </c>
      <c r="D236" s="7"/>
      <c r="E236" s="8">
        <v>11730</v>
      </c>
      <c r="F236" s="8">
        <v>12807</v>
      </c>
      <c r="G236" s="8">
        <v>13084</v>
      </c>
      <c r="H236" s="8">
        <v>14877</v>
      </c>
      <c r="I236" s="8">
        <v>16616</v>
      </c>
      <c r="J236" s="8">
        <v>18593</v>
      </c>
      <c r="K236" s="8">
        <v>20634</v>
      </c>
      <c r="L236" s="8">
        <v>22420</v>
      </c>
      <c r="M236" s="8">
        <v>26458.5625</v>
      </c>
      <c r="N236" s="8">
        <v>30515.666666666668</v>
      </c>
    </row>
    <row r="237" spans="1:14" x14ac:dyDescent="0.25">
      <c r="A237" s="13" t="s">
        <v>347</v>
      </c>
      <c r="B237" s="7" t="s">
        <v>348</v>
      </c>
      <c r="C237" s="7" t="s">
        <v>349</v>
      </c>
      <c r="D237" s="7"/>
      <c r="E237" s="8">
        <v>37</v>
      </c>
      <c r="F237" s="8">
        <v>37</v>
      </c>
      <c r="G237" s="8">
        <v>38</v>
      </c>
      <c r="H237" s="8">
        <v>38</v>
      </c>
      <c r="I237" s="8">
        <v>38</v>
      </c>
      <c r="J237" s="8">
        <v>38</v>
      </c>
      <c r="K237" s="8">
        <v>38</v>
      </c>
      <c r="L237" s="8">
        <v>38</v>
      </c>
      <c r="M237" s="8">
        <v>38.029143119580354</v>
      </c>
      <c r="N237" s="8">
        <v>38.042540265734111</v>
      </c>
    </row>
    <row r="238" spans="1:14" x14ac:dyDescent="0.25">
      <c r="A238" s="13" t="s">
        <v>350</v>
      </c>
      <c r="B238" s="7" t="s">
        <v>351</v>
      </c>
      <c r="C238" s="7" t="s">
        <v>352</v>
      </c>
      <c r="D238" s="7"/>
      <c r="E238" s="8">
        <v>1559</v>
      </c>
      <c r="F238" s="8">
        <v>1628</v>
      </c>
      <c r="G238" s="8">
        <v>1741</v>
      </c>
      <c r="H238" s="8">
        <v>1890</v>
      </c>
      <c r="I238" s="8">
        <v>2034</v>
      </c>
      <c r="J238" s="8">
        <v>2200</v>
      </c>
      <c r="K238" s="8">
        <v>2361</v>
      </c>
      <c r="L238" s="8">
        <v>2597</v>
      </c>
      <c r="M238" s="8">
        <v>5815.5134746118856</v>
      </c>
      <c r="N238" s="8">
        <v>6564.7972369180125</v>
      </c>
    </row>
    <row r="239" spans="1:14" x14ac:dyDescent="0.25">
      <c r="A239" s="13" t="s">
        <v>353</v>
      </c>
      <c r="B239" s="7" t="s">
        <v>354</v>
      </c>
      <c r="C239" s="7" t="s">
        <v>355</v>
      </c>
      <c r="D239" s="7"/>
      <c r="E239" s="8">
        <v>10765</v>
      </c>
      <c r="F239" s="8">
        <v>11748</v>
      </c>
      <c r="G239" s="8">
        <v>12462</v>
      </c>
      <c r="H239" s="8">
        <v>13480</v>
      </c>
      <c r="I239" s="8">
        <v>14765</v>
      </c>
      <c r="J239" s="8">
        <v>16771</v>
      </c>
      <c r="K239" s="8">
        <v>18528</v>
      </c>
      <c r="L239" s="8">
        <v>20472</v>
      </c>
      <c r="M239" s="8">
        <v>21503.218010853918</v>
      </c>
      <c r="N239" s="8">
        <v>25821.835903728806</v>
      </c>
    </row>
    <row r="240" spans="1:14" x14ac:dyDescent="0.25">
      <c r="A240" s="13" t="s">
        <v>356</v>
      </c>
      <c r="B240" s="7" t="s">
        <v>357</v>
      </c>
      <c r="C240" s="7" t="s">
        <v>358</v>
      </c>
      <c r="D240" s="7"/>
      <c r="E240" s="8">
        <v>-631</v>
      </c>
      <c r="F240" s="8">
        <v>-606</v>
      </c>
      <c r="G240" s="8">
        <v>-1157</v>
      </c>
      <c r="H240" s="8">
        <v>-531</v>
      </c>
      <c r="I240" s="8">
        <v>-221</v>
      </c>
      <c r="J240" s="8">
        <v>-416</v>
      </c>
      <c r="K240" s="8">
        <v>-293</v>
      </c>
      <c r="L240" s="8">
        <v>-687</v>
      </c>
      <c r="M240" s="8">
        <v>-605.22427870243757</v>
      </c>
      <c r="N240" s="8">
        <v>-1641.2029258186965</v>
      </c>
    </row>
    <row r="241" spans="1:14" x14ac:dyDescent="0.25">
      <c r="A241" s="13" t="s">
        <v>359</v>
      </c>
      <c r="B241" s="7" t="s">
        <v>303</v>
      </c>
      <c r="C241" s="7" t="s">
        <v>304</v>
      </c>
      <c r="D241" s="7"/>
      <c r="E241" s="8">
        <v>11277</v>
      </c>
      <c r="F241" s="8">
        <v>30167</v>
      </c>
      <c r="G241" s="8">
        <v>34330</v>
      </c>
      <c r="H241" s="8">
        <v>34631</v>
      </c>
      <c r="I241" s="8">
        <v>36884</v>
      </c>
      <c r="J241" s="8">
        <v>39912</v>
      </c>
      <c r="K241" s="8">
        <v>42971</v>
      </c>
      <c r="L241" s="8">
        <v>47844</v>
      </c>
      <c r="M241" s="8">
        <v>51230.817537081828</v>
      </c>
      <c r="N241" s="8">
        <v>55240.818547636758</v>
      </c>
    </row>
    <row r="242" spans="1:14" x14ac:dyDescent="0.25">
      <c r="A242" s="13" t="s">
        <v>17</v>
      </c>
      <c r="B242" s="7"/>
      <c r="C242" s="7"/>
      <c r="D242" s="7"/>
      <c r="E242" s="8"/>
      <c r="F242" s="8"/>
      <c r="G242" s="8"/>
      <c r="H242" s="8"/>
      <c r="I242" s="8"/>
      <c r="J242" s="8"/>
      <c r="K242" s="8"/>
      <c r="L242" s="8"/>
      <c r="M242" s="8"/>
      <c r="N242" s="8"/>
    </row>
    <row r="243" spans="1:14" x14ac:dyDescent="0.25">
      <c r="A243" s="13" t="s">
        <v>360</v>
      </c>
      <c r="B243" s="7"/>
      <c r="C243" s="7"/>
      <c r="D243" s="7"/>
      <c r="E243" s="8"/>
      <c r="F243" s="8"/>
      <c r="G243" s="8"/>
      <c r="H243" s="8"/>
      <c r="I243" s="8"/>
      <c r="J243" s="8"/>
      <c r="K243" s="8"/>
      <c r="L243" s="8"/>
      <c r="M243" s="8"/>
      <c r="N243" s="8"/>
    </row>
    <row r="244" spans="1:14" x14ac:dyDescent="0.25">
      <c r="A244" s="13" t="s">
        <v>361</v>
      </c>
      <c r="B244" s="7" t="s">
        <v>362</v>
      </c>
      <c r="C244" s="7" t="s">
        <v>363</v>
      </c>
      <c r="D244" s="7"/>
      <c r="E244" s="8">
        <v>9859</v>
      </c>
      <c r="F244" s="8">
        <v>11090</v>
      </c>
      <c r="G244" s="8">
        <v>13991</v>
      </c>
      <c r="H244" s="8">
        <v>12479</v>
      </c>
      <c r="I244" s="8">
        <v>12958</v>
      </c>
      <c r="J244" s="8">
        <v>13080</v>
      </c>
      <c r="K244" s="8">
        <v>13702</v>
      </c>
      <c r="L244" s="8">
        <v>15973</v>
      </c>
      <c r="M244" s="8">
        <v>14773</v>
      </c>
      <c r="N244" s="8">
        <v>13780.1875</v>
      </c>
    </row>
    <row r="245" spans="1:14" x14ac:dyDescent="0.25">
      <c r="A245" s="13" t="s">
        <v>364</v>
      </c>
      <c r="B245" s="7" t="s">
        <v>365</v>
      </c>
      <c r="C245" s="7" t="s">
        <v>366</v>
      </c>
      <c r="D245" s="7"/>
      <c r="E245" s="8">
        <v>48.915599686438469</v>
      </c>
      <c r="F245" s="8">
        <v>47.261571405040357</v>
      </c>
      <c r="G245" s="8">
        <v>52.437384128830566</v>
      </c>
      <c r="H245" s="8">
        <v>46.443228454172363</v>
      </c>
      <c r="I245" s="8">
        <v>44.874261827350544</v>
      </c>
      <c r="J245" s="8">
        <v>42.054414560413875</v>
      </c>
      <c r="K245" s="8">
        <v>40.628416872877942</v>
      </c>
      <c r="L245" s="8">
        <v>42.186694172253745</v>
      </c>
      <c r="M245" s="8">
        <v>36.782387851116276</v>
      </c>
      <c r="N245" s="8">
        <v>33.683094708307927</v>
      </c>
    </row>
    <row r="246" spans="1:14" x14ac:dyDescent="0.25">
      <c r="A246" s="13" t="s">
        <v>367</v>
      </c>
      <c r="B246" s="7" t="s">
        <v>368</v>
      </c>
      <c r="C246" s="7" t="s">
        <v>369</v>
      </c>
      <c r="D246" s="7"/>
      <c r="E246" s="8">
        <v>3.4453987730061351</v>
      </c>
      <c r="F246" s="8">
        <v>3.1669426048565121</v>
      </c>
      <c r="G246" s="8">
        <v>4.5576619273301739</v>
      </c>
      <c r="H246" s="8">
        <v>3.4801726463447533</v>
      </c>
      <c r="I246" s="8">
        <v>3.3916750250752257</v>
      </c>
      <c r="J246" s="8">
        <v>2.6521226415094339</v>
      </c>
      <c r="K246" s="8">
        <v>2.8646784337593831</v>
      </c>
      <c r="L246" s="8">
        <v>2.6021950055670433</v>
      </c>
      <c r="M246" s="8">
        <v>1.9362546441046207</v>
      </c>
      <c r="N246" s="8">
        <v>1.6851327937418361</v>
      </c>
    </row>
    <row r="247" spans="1:14" x14ac:dyDescent="0.25">
      <c r="A247" s="13" t="s">
        <v>370</v>
      </c>
      <c r="B247" s="7" t="s">
        <v>371</v>
      </c>
      <c r="C247" s="7" t="s">
        <v>372</v>
      </c>
      <c r="D247" s="7"/>
      <c r="E247" s="8">
        <v>1.8693571874349906</v>
      </c>
      <c r="F247" s="8">
        <v>2.5131818181818182</v>
      </c>
      <c r="G247" s="8">
        <v>1.9256099980162666</v>
      </c>
      <c r="H247" s="8">
        <v>2.2020224225104417</v>
      </c>
      <c r="I247" s="8">
        <v>1.6301761066158973</v>
      </c>
      <c r="J247" s="8">
        <v>1.5803560156545891</v>
      </c>
      <c r="K247" s="8">
        <v>1.9494485294117647</v>
      </c>
      <c r="L247" s="8">
        <v>1.8931229150628688</v>
      </c>
      <c r="M247" s="8">
        <v>2.6807826953174341</v>
      </c>
      <c r="N247" s="8">
        <v>2.866981747321673</v>
      </c>
    </row>
    <row r="248" spans="1:14" x14ac:dyDescent="0.25">
      <c r="A248" s="13" t="s">
        <v>373</v>
      </c>
      <c r="B248" s="7" t="s">
        <v>374</v>
      </c>
      <c r="C248" s="7" t="s">
        <v>375</v>
      </c>
      <c r="D248" s="7"/>
      <c r="E248" s="8">
        <v>1.2718951529020179</v>
      </c>
      <c r="F248" s="8">
        <v>1.6631818181818181</v>
      </c>
      <c r="G248" s="8">
        <v>1.1356873636183298</v>
      </c>
      <c r="H248" s="8">
        <v>1.3279841723455705</v>
      </c>
      <c r="I248" s="8">
        <v>0.87148976677772494</v>
      </c>
      <c r="J248" s="8">
        <v>0.86074990531498552</v>
      </c>
      <c r="K248" s="8">
        <v>1.1134453781512605</v>
      </c>
      <c r="L248" s="8">
        <v>1.0442648190916088</v>
      </c>
      <c r="M248" s="8">
        <v>1.7097300694632835</v>
      </c>
      <c r="N248" s="8">
        <v>2.0395228908710483</v>
      </c>
    </row>
    <row r="249" spans="1:14" x14ac:dyDescent="0.25">
      <c r="A249" s="13" t="s">
        <v>376</v>
      </c>
      <c r="B249" s="7"/>
      <c r="C249" s="7"/>
      <c r="D249" s="7"/>
      <c r="E249" s="8"/>
      <c r="F249" s="8"/>
      <c r="G249" s="8"/>
      <c r="H249" s="8"/>
      <c r="I249" s="8"/>
      <c r="J249" s="8"/>
      <c r="K249" s="8"/>
      <c r="L249" s="8"/>
      <c r="M249" s="8"/>
      <c r="N249" s="8"/>
    </row>
    <row r="250" spans="1:14" x14ac:dyDescent="0.25">
      <c r="A250" s="13" t="s">
        <v>377</v>
      </c>
      <c r="B250" s="7" t="s">
        <v>378</v>
      </c>
      <c r="C250" s="7" t="s">
        <v>379</v>
      </c>
      <c r="D250" s="7"/>
      <c r="E250" s="8">
        <v>34.315240486768403</v>
      </c>
      <c r="F250" s="8">
        <v>10.052118521378246</v>
      </c>
      <c r="G250" s="8">
        <v>4.9583701567514762</v>
      </c>
      <c r="H250" s="8">
        <v>5.7829787851104246</v>
      </c>
      <c r="I250" s="8">
        <v>6.5944207508914205</v>
      </c>
      <c r="J250" s="8">
        <v>8.2426168029584872</v>
      </c>
      <c r="K250" s="8">
        <v>7.2222289251113017</v>
      </c>
      <c r="L250" s="8">
        <v>7.1485987997577496</v>
      </c>
      <c r="M250" s="8">
        <v>9.7918705038182257</v>
      </c>
      <c r="N250" s="8">
        <v>9.5610919547776927</v>
      </c>
    </row>
    <row r="251" spans="1:14" x14ac:dyDescent="0.25">
      <c r="A251" s="13" t="s">
        <v>380</v>
      </c>
      <c r="B251" s="7" t="s">
        <v>381</v>
      </c>
      <c r="C251" s="7" t="s">
        <v>382</v>
      </c>
      <c r="D251" s="7"/>
      <c r="E251" s="8">
        <v>32.752581120943951</v>
      </c>
      <c r="F251" s="8">
        <v>16.978440722174675</v>
      </c>
      <c r="G251" s="8">
        <v>12.351782472673902</v>
      </c>
      <c r="H251" s="8">
        <v>14.262723078573728</v>
      </c>
      <c r="I251" s="8">
        <v>14.974756295049692</v>
      </c>
      <c r="J251" s="8">
        <v>17.978357806242723</v>
      </c>
      <c r="K251" s="8">
        <v>15.259897519565605</v>
      </c>
      <c r="L251" s="8">
        <v>15.078738328610584</v>
      </c>
      <c r="M251" s="8">
        <v>18.913182318983342</v>
      </c>
      <c r="N251" s="8">
        <v>17.791090212333003</v>
      </c>
    </row>
    <row r="252" spans="1:14" x14ac:dyDescent="0.25">
      <c r="A252" s="13" t="s">
        <v>17</v>
      </c>
      <c r="B252" s="7"/>
      <c r="C252" s="7"/>
      <c r="D252" s="7"/>
      <c r="E252" s="8"/>
      <c r="F252" s="8"/>
      <c r="G252" s="8"/>
      <c r="H252" s="8"/>
      <c r="I252" s="8"/>
      <c r="J252" s="8"/>
      <c r="K252" s="8"/>
      <c r="L252" s="8"/>
      <c r="M252" s="8"/>
      <c r="N252" s="8"/>
    </row>
    <row r="253" spans="1:14" x14ac:dyDescent="0.25">
      <c r="A253" s="13" t="s">
        <v>383</v>
      </c>
      <c r="B253" s="7" t="s">
        <v>68</v>
      </c>
      <c r="C253" s="7" t="s">
        <v>69</v>
      </c>
      <c r="D253" s="7"/>
      <c r="E253" s="8">
        <v>232.78489405589031</v>
      </c>
      <c r="F253" s="8">
        <v>226.59734323537612</v>
      </c>
      <c r="G253" s="8">
        <v>248.33294789020434</v>
      </c>
      <c r="H253" s="8">
        <v>204.03154690315966</v>
      </c>
      <c r="I253" s="8">
        <v>197.8637488461672</v>
      </c>
      <c r="J253" s="8">
        <v>217.53560590996179</v>
      </c>
      <c r="K253" s="8">
        <v>206.26117017551525</v>
      </c>
      <c r="L253" s="8">
        <v>195.44022717066423</v>
      </c>
      <c r="M253" s="8" t="s">
        <v>1483</v>
      </c>
      <c r="N253" s="8" t="s">
        <v>1483</v>
      </c>
    </row>
    <row r="254" spans="1:14" x14ac:dyDescent="0.25">
      <c r="A254" s="13" t="s">
        <v>384</v>
      </c>
      <c r="B254" s="7" t="s">
        <v>71</v>
      </c>
      <c r="C254" s="7" t="s">
        <v>72</v>
      </c>
      <c r="D254" s="7"/>
      <c r="E254" s="8">
        <v>60.784133519594143</v>
      </c>
      <c r="F254" s="8">
        <v>64.066279226014515</v>
      </c>
      <c r="G254" s="8">
        <v>71.333147515852545</v>
      </c>
      <c r="H254" s="8">
        <v>61.050239653963054</v>
      </c>
      <c r="I254" s="8">
        <v>65.159493739498075</v>
      </c>
      <c r="J254" s="8">
        <v>65.261244999512144</v>
      </c>
      <c r="K254" s="8">
        <v>62.784509847311348</v>
      </c>
      <c r="L254" s="8">
        <v>58.319198917025005</v>
      </c>
      <c r="M254" s="8" t="s">
        <v>1483</v>
      </c>
      <c r="N254" s="8">
        <v>62.381672803983157</v>
      </c>
    </row>
    <row r="255" spans="1:14" x14ac:dyDescent="0.25">
      <c r="A255" s="13" t="s">
        <v>385</v>
      </c>
      <c r="B255" s="7" t="s">
        <v>386</v>
      </c>
      <c r="C255" s="7" t="s">
        <v>387</v>
      </c>
      <c r="D255" s="7"/>
      <c r="E255" s="8">
        <v>1.3135986092331466</v>
      </c>
      <c r="F255" s="8">
        <v>0.71827043721648487</v>
      </c>
      <c r="G255" s="8">
        <v>0.4450129463385894</v>
      </c>
      <c r="H255" s="8">
        <v>0.49616449877466973</v>
      </c>
      <c r="I255" s="8">
        <v>0.51594770327903239</v>
      </c>
      <c r="J255" s="8">
        <v>0.53382988697327982</v>
      </c>
      <c r="K255" s="8">
        <v>0.54522640348442986</v>
      </c>
      <c r="L255" s="8">
        <v>0.55312448384077517</v>
      </c>
      <c r="M255" s="8">
        <v>0.55231851527180309</v>
      </c>
      <c r="N255" s="8">
        <v>0.55674761978840581</v>
      </c>
    </row>
    <row r="256" spans="1:14" x14ac:dyDescent="0.25">
      <c r="A256" s="13" t="s">
        <v>17</v>
      </c>
      <c r="B256" s="7"/>
      <c r="C256" s="7"/>
      <c r="D256" s="7"/>
      <c r="E256" s="8"/>
      <c r="F256" s="8"/>
      <c r="G256" s="8"/>
      <c r="H256" s="8"/>
      <c r="I256" s="8"/>
      <c r="J256" s="8"/>
      <c r="K256" s="8"/>
      <c r="L256" s="8"/>
      <c r="M256" s="8"/>
      <c r="N256" s="8"/>
    </row>
    <row r="257" spans="1:14" x14ac:dyDescent="0.25">
      <c r="A257" s="13" t="s">
        <v>388</v>
      </c>
      <c r="B257" s="7"/>
      <c r="C257" s="7"/>
      <c r="D257" s="7"/>
      <c r="E257" s="8"/>
      <c r="F257" s="8"/>
      <c r="G257" s="8"/>
      <c r="H257" s="8"/>
      <c r="I257" s="8"/>
      <c r="J257" s="8"/>
      <c r="K257" s="8"/>
      <c r="L257" s="8"/>
      <c r="M257" s="8"/>
      <c r="N257" s="8"/>
    </row>
    <row r="258" spans="1:14" x14ac:dyDescent="0.25">
      <c r="A258" s="13" t="s">
        <v>389</v>
      </c>
      <c r="B258" s="7"/>
      <c r="C258" s="7"/>
      <c r="D258" s="7"/>
      <c r="E258" s="8"/>
      <c r="F258" s="8"/>
      <c r="G258" s="8"/>
      <c r="H258" s="8"/>
      <c r="I258" s="8"/>
      <c r="J258" s="8"/>
      <c r="K258" s="8"/>
      <c r="L258" s="8"/>
      <c r="M258" s="8"/>
      <c r="N258" s="8"/>
    </row>
    <row r="259" spans="1:14" x14ac:dyDescent="0.25">
      <c r="A259" s="13" t="s">
        <v>240</v>
      </c>
      <c r="B259" s="7" t="s">
        <v>390</v>
      </c>
      <c r="C259" s="7" t="s">
        <v>391</v>
      </c>
      <c r="D259" s="7"/>
      <c r="E259" s="8">
        <v>3553</v>
      </c>
      <c r="F259" s="8">
        <v>2083</v>
      </c>
      <c r="G259" s="8">
        <v>1599</v>
      </c>
      <c r="H259" s="8">
        <v>1994</v>
      </c>
      <c r="I259" s="8">
        <v>2358</v>
      </c>
      <c r="J259" s="8">
        <v>3165</v>
      </c>
      <c r="K259" s="8">
        <v>2993</v>
      </c>
      <c r="L259" s="8">
        <v>3246</v>
      </c>
      <c r="M259" s="8">
        <v>4839.4391206760856</v>
      </c>
      <c r="N259" s="8">
        <v>5492.8969093478308</v>
      </c>
    </row>
    <row r="260" spans="1:14" x14ac:dyDescent="0.25">
      <c r="A260" s="13" t="s">
        <v>392</v>
      </c>
      <c r="B260" s="7" t="s">
        <v>168</v>
      </c>
      <c r="C260" s="7" t="s">
        <v>169</v>
      </c>
      <c r="D260" s="7"/>
      <c r="E260" s="8">
        <v>723</v>
      </c>
      <c r="F260" s="8">
        <v>778</v>
      </c>
      <c r="G260" s="8">
        <v>812</v>
      </c>
      <c r="H260" s="8">
        <v>990</v>
      </c>
      <c r="I260" s="8">
        <v>998</v>
      </c>
      <c r="J260" s="8">
        <v>1028</v>
      </c>
      <c r="K260" s="8">
        <v>1050</v>
      </c>
      <c r="L260" s="8">
        <v>1193</v>
      </c>
      <c r="M260" s="8">
        <v>1226.0842610869488</v>
      </c>
      <c r="N260" s="8">
        <v>1267.177498265241</v>
      </c>
    </row>
    <row r="261" spans="1:14" x14ac:dyDescent="0.25">
      <c r="A261" s="13" t="s">
        <v>155</v>
      </c>
      <c r="B261" s="7" t="s">
        <v>393</v>
      </c>
      <c r="C261" s="7" t="s">
        <v>394</v>
      </c>
      <c r="D261" s="7"/>
      <c r="E261" s="8">
        <v>2.2498345709874275</v>
      </c>
      <c r="F261" s="8">
        <v>2.1096479441010478</v>
      </c>
      <c r="G261" s="8">
        <v>2.36917287993868</v>
      </c>
      <c r="H261" s="8">
        <v>2.1685761047463172</v>
      </c>
      <c r="I261" s="8">
        <v>2.010949102932408</v>
      </c>
      <c r="J261" s="8">
        <v>1.9172602205093179</v>
      </c>
      <c r="K261" s="8">
        <v>1.8897986280150474</v>
      </c>
      <c r="L261" s="8">
        <v>1.8354833572224876</v>
      </c>
      <c r="M261" s="8">
        <v>2.0333333333333337</v>
      </c>
      <c r="N261" s="8">
        <v>1.95</v>
      </c>
    </row>
    <row r="262" spans="1:14" x14ac:dyDescent="0.25">
      <c r="A262" s="13" t="s">
        <v>395</v>
      </c>
      <c r="B262" s="7" t="s">
        <v>396</v>
      </c>
      <c r="C262" s="7" t="s">
        <v>397</v>
      </c>
      <c r="D262" s="7"/>
      <c r="E262" s="8">
        <v>119</v>
      </c>
      <c r="F262" s="8">
        <v>127</v>
      </c>
      <c r="G262" s="8">
        <v>142</v>
      </c>
      <c r="H262" s="8">
        <v>171</v>
      </c>
      <c r="I262" s="8">
        <v>168</v>
      </c>
      <c r="J262" s="8">
        <v>205</v>
      </c>
      <c r="K262" s="8">
        <v>229</v>
      </c>
      <c r="L262" s="8">
        <v>243</v>
      </c>
      <c r="M262" s="8">
        <v>254.03381822158917</v>
      </c>
      <c r="N262" s="8">
        <v>271.99272612169369</v>
      </c>
    </row>
    <row r="263" spans="1:14" x14ac:dyDescent="0.25">
      <c r="A263" s="13" t="s">
        <v>398</v>
      </c>
      <c r="B263" s="7" t="s">
        <v>399</v>
      </c>
      <c r="C263" s="7" t="s">
        <v>400</v>
      </c>
      <c r="D263" s="7"/>
      <c r="E263" s="8">
        <v>-1582</v>
      </c>
      <c r="F263" s="8">
        <v>126</v>
      </c>
      <c r="G263" s="8">
        <v>48</v>
      </c>
      <c r="H263" s="8">
        <v>-237</v>
      </c>
      <c r="I263" s="8">
        <v>58</v>
      </c>
      <c r="J263" s="8">
        <v>-206</v>
      </c>
      <c r="K263" s="8">
        <v>-370</v>
      </c>
      <c r="L263" s="8">
        <v>392</v>
      </c>
      <c r="M263" s="8">
        <v>50</v>
      </c>
      <c r="N263" s="8">
        <v>50</v>
      </c>
    </row>
    <row r="264" spans="1:14" x14ac:dyDescent="0.25">
      <c r="A264" s="13" t="s">
        <v>401</v>
      </c>
      <c r="B264" s="7"/>
      <c r="C264" s="7"/>
      <c r="D264" s="7"/>
      <c r="E264" s="8"/>
      <c r="F264" s="8"/>
      <c r="G264" s="8"/>
      <c r="H264" s="8"/>
      <c r="I264" s="8"/>
      <c r="J264" s="8"/>
      <c r="K264" s="8"/>
      <c r="L264" s="8"/>
      <c r="M264" s="8"/>
      <c r="N264" s="8"/>
    </row>
    <row r="265" spans="1:14" x14ac:dyDescent="0.25">
      <c r="A265" s="13" t="s">
        <v>402</v>
      </c>
      <c r="B265" s="7" t="s">
        <v>403</v>
      </c>
      <c r="C265" s="7" t="s">
        <v>404</v>
      </c>
      <c r="D265" s="7"/>
      <c r="E265" s="8">
        <v>-60</v>
      </c>
      <c r="F265" s="8">
        <v>-563</v>
      </c>
      <c r="G265" s="8">
        <v>354</v>
      </c>
      <c r="H265" s="8">
        <v>-377</v>
      </c>
      <c r="I265" s="8">
        <v>-579</v>
      </c>
      <c r="J265" s="8">
        <v>-175</v>
      </c>
      <c r="K265" s="8">
        <v>-321</v>
      </c>
      <c r="L265" s="8">
        <v>127</v>
      </c>
      <c r="M265" s="8">
        <v>-349.56907534526596</v>
      </c>
      <c r="N265" s="8">
        <v>-334.06538007073505</v>
      </c>
    </row>
    <row r="266" spans="1:14" x14ac:dyDescent="0.25">
      <c r="A266" s="13" t="s">
        <v>405</v>
      </c>
      <c r="B266" s="7" t="s">
        <v>406</v>
      </c>
      <c r="C266" s="7" t="s">
        <v>407</v>
      </c>
      <c r="D266" s="7"/>
      <c r="E266" s="8">
        <v>-385</v>
      </c>
      <c r="F266" s="8">
        <v>-400</v>
      </c>
      <c r="G266" s="8">
        <v>27</v>
      </c>
      <c r="H266" s="8">
        <v>-189</v>
      </c>
      <c r="I266" s="8">
        <v>-762</v>
      </c>
      <c r="J266" s="8">
        <v>-797</v>
      </c>
      <c r="K266" s="8">
        <v>-206</v>
      </c>
      <c r="L266" s="8">
        <v>-297</v>
      </c>
      <c r="M266" s="8">
        <v>-310.15992343662327</v>
      </c>
      <c r="N266" s="8">
        <v>-415.77982141535313</v>
      </c>
    </row>
    <row r="267" spans="1:14" x14ac:dyDescent="0.25">
      <c r="A267" s="13" t="s">
        <v>408</v>
      </c>
      <c r="B267" s="7" t="s">
        <v>409</v>
      </c>
      <c r="C267" s="7" t="s">
        <v>410</v>
      </c>
      <c r="D267" s="7"/>
      <c r="E267" s="8">
        <v>116</v>
      </c>
      <c r="F267" s="8">
        <v>63</v>
      </c>
      <c r="G267" s="8">
        <v>100</v>
      </c>
      <c r="H267" s="8">
        <v>329</v>
      </c>
      <c r="I267" s="8">
        <v>290</v>
      </c>
      <c r="J267" s="8">
        <v>77</v>
      </c>
      <c r="K267" s="8">
        <v>192</v>
      </c>
      <c r="L267" s="8">
        <v>94</v>
      </c>
      <c r="M267" s="8">
        <v>260.06596018869624</v>
      </c>
      <c r="N267" s="8">
        <v>116.64107276438654</v>
      </c>
    </row>
    <row r="268" spans="1:14" x14ac:dyDescent="0.25">
      <c r="A268" s="13" t="s">
        <v>411</v>
      </c>
      <c r="B268" s="7" t="s">
        <v>412</v>
      </c>
      <c r="C268" s="7" t="s">
        <v>413</v>
      </c>
      <c r="D268" s="7"/>
      <c r="E268" s="8">
        <v>-156</v>
      </c>
      <c r="F268" s="8">
        <v>-105</v>
      </c>
      <c r="G268" s="8">
        <v>-16</v>
      </c>
      <c r="H268" s="8">
        <v>-98</v>
      </c>
      <c r="I268" s="8">
        <v>-238</v>
      </c>
      <c r="J268" s="8">
        <v>-4</v>
      </c>
      <c r="K268" s="8">
        <v>-116</v>
      </c>
      <c r="L268" s="8">
        <v>-145</v>
      </c>
      <c r="M268" s="8">
        <v>-7.9644646939660406</v>
      </c>
      <c r="N268" s="8">
        <v>4.6496076444260117</v>
      </c>
    </row>
    <row r="269" spans="1:14" x14ac:dyDescent="0.25">
      <c r="A269" s="13" t="s">
        <v>414</v>
      </c>
      <c r="B269" s="7" t="s">
        <v>415</v>
      </c>
      <c r="C269" s="7" t="s">
        <v>416</v>
      </c>
      <c r="D269" s="7"/>
      <c r="E269" s="8">
        <v>199</v>
      </c>
      <c r="F269" s="8">
        <v>-64</v>
      </c>
      <c r="G269" s="8">
        <v>-71</v>
      </c>
      <c r="H269" s="8">
        <v>94</v>
      </c>
      <c r="I269" s="8">
        <v>171</v>
      </c>
      <c r="J269" s="8">
        <v>498</v>
      </c>
      <c r="K269" s="8">
        <v>74</v>
      </c>
      <c r="L269" s="8">
        <v>318</v>
      </c>
      <c r="M269" s="8">
        <v>742.73884987828342</v>
      </c>
      <c r="N269" s="8">
        <v>290.07332547320925</v>
      </c>
    </row>
    <row r="270" spans="1:14" x14ac:dyDescent="0.25">
      <c r="A270" s="13" t="s">
        <v>417</v>
      </c>
      <c r="B270" s="7"/>
      <c r="C270" s="7"/>
      <c r="D270" s="7"/>
      <c r="E270" s="8"/>
      <c r="F270" s="8"/>
      <c r="G270" s="8"/>
      <c r="H270" s="8"/>
      <c r="I270" s="8"/>
      <c r="J270" s="8"/>
      <c r="K270" s="8"/>
      <c r="L270" s="8"/>
      <c r="M270" s="8"/>
      <c r="N270" s="8"/>
    </row>
    <row r="271" spans="1:14" x14ac:dyDescent="0.25">
      <c r="A271" s="13" t="s">
        <v>418</v>
      </c>
      <c r="B271" s="7" t="s">
        <v>419</v>
      </c>
      <c r="C271" s="7" t="s">
        <v>420</v>
      </c>
      <c r="D271" s="7"/>
      <c r="E271" s="8">
        <v>30</v>
      </c>
      <c r="F271" s="8">
        <v>-129</v>
      </c>
      <c r="G271" s="8">
        <v>2</v>
      </c>
      <c r="H271" s="8">
        <v>-47</v>
      </c>
      <c r="I271" s="8">
        <v>-107</v>
      </c>
      <c r="J271" s="8">
        <v>-134</v>
      </c>
      <c r="K271" s="8">
        <v>-306</v>
      </c>
      <c r="L271" s="8">
        <v>-470</v>
      </c>
      <c r="M271" s="8">
        <v>96.095414077887654</v>
      </c>
      <c r="N271" s="8">
        <v>64.004417590804678</v>
      </c>
    </row>
    <row r="272" spans="1:14" x14ac:dyDescent="0.25">
      <c r="A272" s="13" t="s">
        <v>421</v>
      </c>
      <c r="B272" s="7" t="s">
        <v>422</v>
      </c>
      <c r="C272" s="7" t="s">
        <v>423</v>
      </c>
      <c r="D272" s="7"/>
      <c r="E272" s="8">
        <v>2610</v>
      </c>
      <c r="F272" s="8">
        <v>2191</v>
      </c>
      <c r="G272" s="8">
        <v>3277</v>
      </c>
      <c r="H272" s="8">
        <v>3263</v>
      </c>
      <c r="I272" s="8">
        <v>2624</v>
      </c>
      <c r="J272" s="8">
        <v>3711</v>
      </c>
      <c r="K272" s="8">
        <v>4242</v>
      </c>
      <c r="L272" s="8">
        <v>5044</v>
      </c>
      <c r="M272" s="8">
        <v>6286.4535512747025</v>
      </c>
      <c r="N272" s="8">
        <v>6624.0399545026448</v>
      </c>
    </row>
    <row r="273" spans="1:14" x14ac:dyDescent="0.25">
      <c r="A273" s="13" t="s">
        <v>17</v>
      </c>
      <c r="B273" s="7"/>
      <c r="C273" s="7"/>
      <c r="D273" s="7"/>
      <c r="E273" s="8"/>
      <c r="F273" s="8"/>
      <c r="G273" s="8"/>
      <c r="H273" s="8"/>
      <c r="I273" s="8"/>
      <c r="J273" s="8"/>
      <c r="K273" s="8"/>
      <c r="L273" s="8"/>
      <c r="M273" s="8"/>
      <c r="N273" s="8"/>
    </row>
    <row r="274" spans="1:14" x14ac:dyDescent="0.25">
      <c r="A274" s="13" t="s">
        <v>424</v>
      </c>
      <c r="B274" s="7"/>
      <c r="C274" s="7"/>
      <c r="D274" s="7"/>
      <c r="E274" s="8"/>
      <c r="F274" s="8"/>
      <c r="G274" s="8"/>
      <c r="H274" s="8"/>
      <c r="I274" s="8"/>
      <c r="J274" s="8"/>
      <c r="K274" s="8"/>
      <c r="L274" s="8"/>
      <c r="M274" s="8"/>
      <c r="N274" s="8"/>
    </row>
    <row r="275" spans="1:14" x14ac:dyDescent="0.25">
      <c r="A275" s="13" t="s">
        <v>425</v>
      </c>
      <c r="B275" s="7" t="s">
        <v>426</v>
      </c>
      <c r="C275" s="7" t="s">
        <v>427</v>
      </c>
      <c r="D275" s="7"/>
      <c r="E275" s="8">
        <v>-572</v>
      </c>
      <c r="F275" s="8">
        <v>-649</v>
      </c>
      <c r="G275" s="8">
        <v>-487</v>
      </c>
      <c r="H275" s="8">
        <v>-525</v>
      </c>
      <c r="I275" s="8">
        <v>-588</v>
      </c>
      <c r="J275" s="8">
        <v>-575</v>
      </c>
      <c r="K275" s="8">
        <v>-755</v>
      </c>
      <c r="L275" s="8">
        <v>-761</v>
      </c>
      <c r="M275" s="8">
        <v>-826.375</v>
      </c>
      <c r="N275" s="8">
        <v>-879.6875</v>
      </c>
    </row>
    <row r="276" spans="1:14" x14ac:dyDescent="0.25">
      <c r="A276" s="13" t="s">
        <v>155</v>
      </c>
      <c r="B276" s="7" t="s">
        <v>428</v>
      </c>
      <c r="C276" s="7" t="s">
        <v>429</v>
      </c>
      <c r="D276" s="7"/>
      <c r="E276" s="8">
        <v>4.2055731196235566</v>
      </c>
      <c r="F276" s="8">
        <v>4.3603869927438854</v>
      </c>
      <c r="G276" s="8">
        <v>3.3934917427356979</v>
      </c>
      <c r="H276" s="8">
        <v>3.0687397708674307</v>
      </c>
      <c r="I276" s="8">
        <v>3.1871646159683449</v>
      </c>
      <c r="J276" s="8">
        <v>2.8051517221192315</v>
      </c>
      <c r="K276" s="8">
        <v>3.3414472228369108</v>
      </c>
      <c r="L276" s="8">
        <v>3.0299410734193346</v>
      </c>
      <c r="M276" s="8">
        <v>4.0173639905839638</v>
      </c>
      <c r="N276" s="8">
        <v>3.0476383354779317</v>
      </c>
    </row>
    <row r="277" spans="1:14" x14ac:dyDescent="0.25">
      <c r="A277" s="13" t="s">
        <v>430</v>
      </c>
      <c r="B277" s="7" t="s">
        <v>431</v>
      </c>
      <c r="C277" s="7" t="s">
        <v>432</v>
      </c>
      <c r="D277" s="7"/>
      <c r="E277" s="8">
        <v>-2451</v>
      </c>
      <c r="F277" s="8">
        <v>-802</v>
      </c>
      <c r="G277" s="8">
        <v>-4222</v>
      </c>
      <c r="H277" s="8">
        <v>-339</v>
      </c>
      <c r="I277" s="8">
        <v>-2563</v>
      </c>
      <c r="J277" s="8">
        <v>-390</v>
      </c>
      <c r="K277" s="8">
        <v>-1628</v>
      </c>
      <c r="L277" s="8">
        <v>-4960</v>
      </c>
      <c r="M277" s="8">
        <v>-520</v>
      </c>
      <c r="N277" s="8">
        <v>-500</v>
      </c>
    </row>
    <row r="278" spans="1:14" x14ac:dyDescent="0.25">
      <c r="A278" s="13" t="s">
        <v>433</v>
      </c>
      <c r="B278" s="7" t="s">
        <v>434</v>
      </c>
      <c r="C278" s="7" t="s">
        <v>435</v>
      </c>
      <c r="D278" s="7"/>
      <c r="E278" s="8">
        <v>168</v>
      </c>
      <c r="F278" s="8">
        <v>-5</v>
      </c>
      <c r="G278" s="8">
        <v>7</v>
      </c>
      <c r="H278" s="8">
        <v>6</v>
      </c>
      <c r="I278" s="8">
        <v>-9</v>
      </c>
      <c r="J278" s="8">
        <v>2</v>
      </c>
      <c r="K278" s="8">
        <v>-759</v>
      </c>
      <c r="L278" s="8">
        <v>915</v>
      </c>
      <c r="M278" s="8" t="s">
        <v>1483</v>
      </c>
      <c r="N278" s="8" t="s">
        <v>1483</v>
      </c>
    </row>
    <row r="279" spans="1:14" x14ac:dyDescent="0.25">
      <c r="A279" s="13" t="s">
        <v>436</v>
      </c>
      <c r="B279" s="7" t="s">
        <v>437</v>
      </c>
      <c r="C279" s="7" t="s">
        <v>438</v>
      </c>
      <c r="D279" s="7"/>
      <c r="E279" s="8">
        <v>-226</v>
      </c>
      <c r="F279" s="8">
        <v>-74</v>
      </c>
      <c r="G279" s="8">
        <v>-54</v>
      </c>
      <c r="H279" s="8">
        <v>-49</v>
      </c>
      <c r="I279" s="8">
        <v>-52</v>
      </c>
      <c r="J279" s="8">
        <v>-52</v>
      </c>
      <c r="K279" s="8">
        <v>-58</v>
      </c>
      <c r="L279" s="8">
        <v>750</v>
      </c>
      <c r="M279" s="8">
        <v>84.34765625</v>
      </c>
      <c r="N279" s="8" t="s">
        <v>1483</v>
      </c>
    </row>
    <row r="280" spans="1:14" x14ac:dyDescent="0.25">
      <c r="A280" s="13" t="s">
        <v>439</v>
      </c>
      <c r="B280" s="7" t="s">
        <v>440</v>
      </c>
      <c r="C280" s="7" t="s">
        <v>441</v>
      </c>
      <c r="D280" s="7"/>
      <c r="E280" s="8">
        <v>394</v>
      </c>
      <c r="F280" s="8">
        <v>69</v>
      </c>
      <c r="G280" s="8">
        <v>61</v>
      </c>
      <c r="H280" s="8">
        <v>55</v>
      </c>
      <c r="I280" s="8">
        <v>43</v>
      </c>
      <c r="J280" s="8">
        <v>54</v>
      </c>
      <c r="K280" s="8">
        <v>49</v>
      </c>
      <c r="L280" s="8">
        <v>0</v>
      </c>
      <c r="M280" s="8">
        <v>84.34765625</v>
      </c>
      <c r="N280" s="8" t="s">
        <v>1483</v>
      </c>
    </row>
    <row r="281" spans="1:14" x14ac:dyDescent="0.25">
      <c r="A281" s="13" t="s">
        <v>442</v>
      </c>
      <c r="B281" s="7" t="s">
        <v>443</v>
      </c>
      <c r="C281" s="7" t="s">
        <v>444</v>
      </c>
      <c r="D281" s="7"/>
      <c r="E281" s="8">
        <v>-2</v>
      </c>
      <c r="F281" s="8">
        <v>1</v>
      </c>
      <c r="G281" s="8">
        <v>1</v>
      </c>
      <c r="H281" s="8">
        <v>-1</v>
      </c>
      <c r="I281" s="8">
        <v>236</v>
      </c>
      <c r="J281" s="8">
        <v>1</v>
      </c>
      <c r="K281" s="8">
        <v>142</v>
      </c>
      <c r="L281" s="8">
        <v>-60</v>
      </c>
      <c r="M281" s="8" t="s">
        <v>1483</v>
      </c>
      <c r="N281" s="8" t="s">
        <v>1483</v>
      </c>
    </row>
    <row r="282" spans="1:14" x14ac:dyDescent="0.25">
      <c r="A282" s="13" t="s">
        <v>445</v>
      </c>
      <c r="B282" s="7" t="s">
        <v>446</v>
      </c>
      <c r="C282" s="7" t="s">
        <v>447</v>
      </c>
      <c r="D282" s="7"/>
      <c r="E282" s="8">
        <v>-2857</v>
      </c>
      <c r="F282" s="8">
        <v>-1455</v>
      </c>
      <c r="G282" s="8">
        <v>-4701</v>
      </c>
      <c r="H282" s="8">
        <v>-859</v>
      </c>
      <c r="I282" s="8">
        <v>-2924</v>
      </c>
      <c r="J282" s="8">
        <v>-962</v>
      </c>
      <c r="K282" s="8">
        <v>-3000</v>
      </c>
      <c r="L282" s="8">
        <v>-4866</v>
      </c>
      <c r="M282" s="8">
        <v>-789.26163287877171</v>
      </c>
      <c r="N282" s="8">
        <v>-900.97785534365391</v>
      </c>
    </row>
    <row r="283" spans="1:14" x14ac:dyDescent="0.25">
      <c r="A283" s="13" t="s">
        <v>17</v>
      </c>
      <c r="B283" s="7"/>
      <c r="C283" s="7"/>
      <c r="D283" s="7"/>
      <c r="E283" s="8"/>
      <c r="F283" s="8"/>
      <c r="G283" s="8"/>
      <c r="H283" s="8"/>
      <c r="I283" s="8"/>
      <c r="J283" s="8"/>
      <c r="K283" s="8"/>
      <c r="L283" s="8"/>
      <c r="M283" s="8"/>
      <c r="N283" s="8"/>
    </row>
    <row r="284" spans="1:14" x14ac:dyDescent="0.25">
      <c r="A284" s="13" t="s">
        <v>448</v>
      </c>
      <c r="B284" s="7"/>
      <c r="C284" s="7"/>
      <c r="D284" s="7"/>
      <c r="E284" s="8"/>
      <c r="F284" s="8"/>
      <c r="G284" s="8"/>
      <c r="H284" s="8"/>
      <c r="I284" s="8"/>
      <c r="J284" s="8"/>
      <c r="K284" s="8"/>
      <c r="L284" s="8"/>
      <c r="M284" s="8"/>
      <c r="N284" s="8"/>
    </row>
    <row r="285" spans="1:14" x14ac:dyDescent="0.25">
      <c r="A285" s="13" t="s">
        <v>449</v>
      </c>
      <c r="B285" s="7" t="s">
        <v>450</v>
      </c>
      <c r="C285" s="7" t="s">
        <v>451</v>
      </c>
      <c r="D285" s="7"/>
      <c r="E285" s="8">
        <v>-669</v>
      </c>
      <c r="F285" s="8">
        <v>-1342</v>
      </c>
      <c r="G285" s="8">
        <v>-2297</v>
      </c>
      <c r="H285" s="8">
        <v>-1151</v>
      </c>
      <c r="I285" s="8">
        <v>-653</v>
      </c>
      <c r="J285" s="8">
        <v>-2058</v>
      </c>
      <c r="K285" s="8">
        <v>-2039</v>
      </c>
      <c r="L285" s="8">
        <v>-1400</v>
      </c>
      <c r="M285" s="8">
        <v>-1123.3333333333333</v>
      </c>
      <c r="N285" s="8">
        <v>-1107.6666666666667</v>
      </c>
    </row>
    <row r="286" spans="1:14" x14ac:dyDescent="0.25">
      <c r="A286" s="13" t="s">
        <v>452</v>
      </c>
      <c r="B286" s="7" t="s">
        <v>453</v>
      </c>
      <c r="C286" s="7" t="s">
        <v>454</v>
      </c>
      <c r="D286" s="7"/>
      <c r="E286" s="8">
        <v>-300</v>
      </c>
      <c r="F286" s="8">
        <v>-307</v>
      </c>
      <c r="G286" s="8">
        <v>0</v>
      </c>
      <c r="H286" s="8">
        <v>0</v>
      </c>
      <c r="I286" s="8">
        <v>0</v>
      </c>
      <c r="J286" s="8">
        <v>0</v>
      </c>
      <c r="K286" s="8">
        <v>0</v>
      </c>
      <c r="L286" s="8">
        <v>0</v>
      </c>
      <c r="M286" s="8">
        <v>-420.25</v>
      </c>
      <c r="N286" s="8">
        <v>-545.25</v>
      </c>
    </row>
    <row r="287" spans="1:14" x14ac:dyDescent="0.25">
      <c r="A287" s="13" t="s">
        <v>455</v>
      </c>
      <c r="B287" s="7" t="s">
        <v>456</v>
      </c>
      <c r="C287" s="7" t="s">
        <v>457</v>
      </c>
      <c r="D287" s="7"/>
      <c r="E287" s="8">
        <v>-703</v>
      </c>
      <c r="F287" s="8">
        <v>-778</v>
      </c>
      <c r="G287" s="8">
        <v>-863</v>
      </c>
      <c r="H287" s="8">
        <v>-950</v>
      </c>
      <c r="I287" s="8">
        <v>-1051</v>
      </c>
      <c r="J287" s="8">
        <v>-1139</v>
      </c>
      <c r="K287" s="8">
        <v>-1219</v>
      </c>
      <c r="L287" s="8">
        <v>-1284</v>
      </c>
      <c r="M287" s="8">
        <v>-1388.8452288505989</v>
      </c>
      <c r="N287" s="8">
        <v>-1509.539741836207</v>
      </c>
    </row>
    <row r="288" spans="1:14" x14ac:dyDescent="0.25">
      <c r="A288" s="13" t="s">
        <v>458</v>
      </c>
      <c r="B288" s="7" t="s">
        <v>459</v>
      </c>
      <c r="C288" s="7" t="s">
        <v>460</v>
      </c>
      <c r="D288" s="7"/>
      <c r="E288" s="8">
        <v>2456</v>
      </c>
      <c r="F288" s="8">
        <v>1293</v>
      </c>
      <c r="G288" s="8">
        <v>989</v>
      </c>
      <c r="H288" s="8">
        <v>-1153</v>
      </c>
      <c r="I288" s="8">
        <v>472</v>
      </c>
      <c r="J288" s="8">
        <v>-277</v>
      </c>
      <c r="K288" s="8">
        <v>940</v>
      </c>
      <c r="L288" s="8">
        <v>1579</v>
      </c>
      <c r="M288" s="8">
        <v>-1144</v>
      </c>
      <c r="N288" s="8">
        <v>-957.66666666666663</v>
      </c>
    </row>
    <row r="289" spans="1:14" x14ac:dyDescent="0.25">
      <c r="A289" s="13" t="s">
        <v>461</v>
      </c>
      <c r="B289" s="7" t="s">
        <v>462</v>
      </c>
      <c r="C289" s="7" t="s">
        <v>463</v>
      </c>
      <c r="D289" s="7"/>
      <c r="E289" s="8">
        <v>3126</v>
      </c>
      <c r="F289" s="8">
        <v>2642</v>
      </c>
      <c r="G289" s="8">
        <v>3292</v>
      </c>
      <c r="H289" s="8">
        <v>5</v>
      </c>
      <c r="I289" s="8">
        <v>1500</v>
      </c>
      <c r="J289" s="8">
        <v>1241</v>
      </c>
      <c r="K289" s="8">
        <v>3011</v>
      </c>
      <c r="L289" s="8">
        <v>2979</v>
      </c>
      <c r="M289" s="8" t="s">
        <v>1483</v>
      </c>
      <c r="N289" s="8" t="s">
        <v>1483</v>
      </c>
    </row>
    <row r="290" spans="1:14" x14ac:dyDescent="0.25">
      <c r="A290" s="13" t="s">
        <v>464</v>
      </c>
      <c r="B290" s="7" t="s">
        <v>465</v>
      </c>
      <c r="C290" s="7" t="s">
        <v>466</v>
      </c>
      <c r="D290" s="7"/>
      <c r="E290" s="8">
        <v>-124</v>
      </c>
      <c r="F290" s="8">
        <v>-205</v>
      </c>
      <c r="G290" s="8">
        <v>-137</v>
      </c>
      <c r="H290" s="8">
        <v>-262</v>
      </c>
      <c r="I290" s="8">
        <v>-170</v>
      </c>
      <c r="J290" s="8">
        <v>-178</v>
      </c>
      <c r="K290" s="8">
        <v>-246</v>
      </c>
      <c r="L290" s="8">
        <v>-182</v>
      </c>
      <c r="M290" s="8" t="s">
        <v>1483</v>
      </c>
      <c r="N290" s="8" t="s">
        <v>1483</v>
      </c>
    </row>
    <row r="291" spans="1:14" x14ac:dyDescent="0.25">
      <c r="A291" s="13" t="s">
        <v>467</v>
      </c>
      <c r="B291" s="7" t="s">
        <v>468</v>
      </c>
      <c r="C291" s="7" t="s">
        <v>469</v>
      </c>
      <c r="D291" s="7"/>
      <c r="E291" s="8">
        <v>1329</v>
      </c>
      <c r="F291" s="8">
        <v>3</v>
      </c>
      <c r="G291" s="8">
        <v>-11</v>
      </c>
      <c r="H291" s="8">
        <v>-2365</v>
      </c>
      <c r="I291" s="8">
        <v>-749</v>
      </c>
      <c r="J291" s="8">
        <v>-1594</v>
      </c>
      <c r="K291" s="8">
        <v>-525</v>
      </c>
      <c r="L291" s="8">
        <v>113</v>
      </c>
      <c r="M291" s="8">
        <v>-2395.6060967812305</v>
      </c>
      <c r="N291" s="8">
        <v>-2684.8065074361939</v>
      </c>
    </row>
    <row r="292" spans="1:14" x14ac:dyDescent="0.25">
      <c r="A292" s="13" t="s">
        <v>17</v>
      </c>
      <c r="B292" s="7"/>
      <c r="C292" s="7"/>
      <c r="D292" s="7"/>
      <c r="E292" s="8"/>
      <c r="F292" s="8"/>
      <c r="G292" s="8"/>
      <c r="H292" s="8"/>
      <c r="I292" s="8"/>
      <c r="J292" s="8"/>
      <c r="K292" s="8"/>
      <c r="L292" s="8"/>
      <c r="M292" s="8"/>
      <c r="N292" s="8"/>
    </row>
    <row r="293" spans="1:14" x14ac:dyDescent="0.25">
      <c r="A293" s="13" t="s">
        <v>360</v>
      </c>
      <c r="B293" s="7"/>
      <c r="C293" s="7"/>
      <c r="D293" s="7"/>
      <c r="E293" s="8"/>
      <c r="F293" s="8"/>
      <c r="G293" s="8"/>
      <c r="H293" s="8"/>
      <c r="I293" s="8"/>
      <c r="J293" s="8"/>
      <c r="K293" s="8"/>
      <c r="L293" s="8"/>
      <c r="M293" s="8"/>
      <c r="N293" s="8"/>
    </row>
    <row r="294" spans="1:14" x14ac:dyDescent="0.25">
      <c r="A294" s="13" t="s">
        <v>470</v>
      </c>
      <c r="B294" s="7" t="s">
        <v>471</v>
      </c>
      <c r="C294" s="7" t="s">
        <v>472</v>
      </c>
      <c r="D294" s="7"/>
      <c r="E294" s="8">
        <v>-1416</v>
      </c>
      <c r="F294" s="8">
        <v>721</v>
      </c>
      <c r="G294" s="8">
        <v>-1394</v>
      </c>
      <c r="H294" s="8">
        <v>1</v>
      </c>
      <c r="I294" s="8">
        <v>-1100</v>
      </c>
      <c r="J294" s="8">
        <v>1127</v>
      </c>
      <c r="K294" s="8">
        <v>681</v>
      </c>
      <c r="L294" s="8">
        <v>359</v>
      </c>
      <c r="M294" s="8">
        <v>3340.8033071711484</v>
      </c>
      <c r="N294" s="8">
        <v>3349.8634506604772</v>
      </c>
    </row>
    <row r="295" spans="1:14" x14ac:dyDescent="0.25">
      <c r="A295" s="13" t="s">
        <v>473</v>
      </c>
      <c r="B295" s="7" t="s">
        <v>262</v>
      </c>
      <c r="C295" s="7" t="s">
        <v>263</v>
      </c>
      <c r="D295" s="7"/>
      <c r="E295" s="8">
        <v>3699</v>
      </c>
      <c r="F295" s="8">
        <v>4337</v>
      </c>
      <c r="G295" s="8">
        <v>2943</v>
      </c>
      <c r="H295" s="8">
        <v>2944</v>
      </c>
      <c r="I295" s="8">
        <v>1844</v>
      </c>
      <c r="J295" s="8">
        <v>2971</v>
      </c>
      <c r="K295" s="8">
        <v>3652</v>
      </c>
      <c r="L295" s="8">
        <v>4011</v>
      </c>
      <c r="M295" s="8">
        <v>6900.787523638217</v>
      </c>
      <c r="N295" s="8">
        <v>10351.582400388423</v>
      </c>
    </row>
    <row r="296" spans="1:14" x14ac:dyDescent="0.25">
      <c r="A296" s="13" t="s">
        <v>474</v>
      </c>
      <c r="B296" s="7" t="s">
        <v>475</v>
      </c>
      <c r="C296" s="7" t="s">
        <v>476</v>
      </c>
      <c r="D296" s="7"/>
      <c r="E296" s="8">
        <v>2542</v>
      </c>
      <c r="F296" s="8">
        <v>3616</v>
      </c>
      <c r="G296" s="8">
        <v>4337</v>
      </c>
      <c r="H296" s="8">
        <v>2943</v>
      </c>
      <c r="I296" s="8">
        <v>2944</v>
      </c>
      <c r="J296" s="8">
        <v>1844</v>
      </c>
      <c r="K296" s="8">
        <v>2971</v>
      </c>
      <c r="L296" s="8">
        <v>3652</v>
      </c>
      <c r="M296" s="8">
        <v>3700.8859063064901</v>
      </c>
      <c r="N296" s="8">
        <v>7641.4006611072091</v>
      </c>
    </row>
    <row r="297" spans="1:14" x14ac:dyDescent="0.25">
      <c r="A297" s="13" t="s">
        <v>477</v>
      </c>
      <c r="B297" s="7" t="s">
        <v>478</v>
      </c>
      <c r="C297" s="7" t="s">
        <v>479</v>
      </c>
      <c r="D297" s="7"/>
      <c r="E297" s="8">
        <v>31.476021245010219</v>
      </c>
      <c r="F297" s="8">
        <v>34.190736280700094</v>
      </c>
      <c r="G297" s="8">
        <v>34.779285587222162</v>
      </c>
      <c r="H297" s="8">
        <v>39.404607061533369</v>
      </c>
      <c r="I297" s="8">
        <v>43.861218006331889</v>
      </c>
      <c r="J297" s="8">
        <v>48.894973596714259</v>
      </c>
      <c r="K297" s="8">
        <v>54.100681699003673</v>
      </c>
      <c r="L297" s="8">
        <v>58.614379084967318</v>
      </c>
      <c r="M297" s="8">
        <v>68.501999999999995</v>
      </c>
      <c r="N297" s="8">
        <v>75.177499999999995</v>
      </c>
    </row>
    <row r="298" spans="1:14" x14ac:dyDescent="0.25">
      <c r="A298" s="13" t="s">
        <v>376</v>
      </c>
      <c r="B298" s="7"/>
      <c r="C298" s="7"/>
      <c r="D298" s="7"/>
      <c r="E298" s="8"/>
      <c r="F298" s="8"/>
      <c r="G298" s="8"/>
      <c r="H298" s="8"/>
      <c r="I298" s="8"/>
      <c r="J298" s="8"/>
      <c r="K298" s="8"/>
      <c r="L298" s="8"/>
      <c r="M298" s="8"/>
      <c r="N298" s="8"/>
    </row>
    <row r="299" spans="1:14" x14ac:dyDescent="0.25">
      <c r="A299" s="13" t="s">
        <v>480</v>
      </c>
      <c r="B299" s="7" t="s">
        <v>481</v>
      </c>
      <c r="C299" s="7" t="s">
        <v>482</v>
      </c>
      <c r="D299" s="7"/>
      <c r="E299" s="8">
        <v>2038</v>
      </c>
      <c r="F299" s="8">
        <v>1542</v>
      </c>
      <c r="G299" s="8">
        <v>2790</v>
      </c>
      <c r="H299" s="8">
        <v>2738</v>
      </c>
      <c r="I299" s="8">
        <v>2036</v>
      </c>
      <c r="J299" s="8">
        <v>3136</v>
      </c>
      <c r="K299" s="8">
        <v>3487</v>
      </c>
      <c r="L299" s="8">
        <v>4283</v>
      </c>
      <c r="M299" s="8">
        <v>5415.5254145165009</v>
      </c>
      <c r="N299" s="8">
        <v>5637.65005585575</v>
      </c>
    </row>
    <row r="300" spans="1:14" x14ac:dyDescent="0.25">
      <c r="A300" s="13" t="s">
        <v>483</v>
      </c>
      <c r="B300" s="7" t="s">
        <v>484</v>
      </c>
      <c r="C300" s="7" t="s">
        <v>485</v>
      </c>
      <c r="D300" s="7"/>
      <c r="E300" s="8">
        <v>14.984192338798618</v>
      </c>
      <c r="F300" s="8">
        <v>10.360118247782854</v>
      </c>
      <c r="G300" s="8">
        <v>19.441153926555639</v>
      </c>
      <c r="H300" s="8">
        <v>16.004208557400048</v>
      </c>
      <c r="I300" s="8">
        <v>11.035828500189712</v>
      </c>
      <c r="J300" s="8">
        <v>15.299053566201581</v>
      </c>
      <c r="K300" s="8">
        <v>15.432617835804381</v>
      </c>
      <c r="L300" s="8">
        <v>17.052874661570314</v>
      </c>
      <c r="M300" s="8">
        <v>16.971944380047137</v>
      </c>
      <c r="N300" s="8">
        <v>17.826919162269633</v>
      </c>
    </row>
    <row r="301" spans="1:14" x14ac:dyDescent="0.25">
      <c r="A301" s="13" t="s">
        <v>486</v>
      </c>
      <c r="B301" s="7" t="s">
        <v>487</v>
      </c>
      <c r="C301" s="7" t="s">
        <v>488</v>
      </c>
      <c r="D301" s="7"/>
      <c r="E301" s="8">
        <v>5.3589271627662374</v>
      </c>
      <c r="F301" s="8">
        <v>4.0589628849697288</v>
      </c>
      <c r="G301" s="8">
        <v>7.3363134367604523</v>
      </c>
      <c r="H301" s="8">
        <v>7.1619147266544596</v>
      </c>
      <c r="I301" s="8">
        <v>5.32705389848247</v>
      </c>
      <c r="J301" s="8">
        <v>8.173051863434976</v>
      </c>
      <c r="K301" s="8">
        <v>9.0430497925311197</v>
      </c>
      <c r="L301" s="8">
        <v>11.081500646830531</v>
      </c>
      <c r="M301" s="8">
        <v>14.900785780743394</v>
      </c>
      <c r="N301" s="8">
        <v>14.304187172376752</v>
      </c>
    </row>
    <row r="302" spans="1:14" x14ac:dyDescent="0.25">
      <c r="A302" s="13" t="s">
        <v>376</v>
      </c>
      <c r="B302" s="7"/>
      <c r="C302" s="7"/>
      <c r="D302" s="7"/>
      <c r="E302" s="8"/>
      <c r="F302" s="8"/>
      <c r="G302" s="8"/>
      <c r="H302" s="8"/>
      <c r="I302" s="8"/>
      <c r="J302" s="8"/>
      <c r="K302" s="8"/>
      <c r="L302" s="8"/>
      <c r="M302" s="8"/>
      <c r="N302" s="8"/>
    </row>
    <row r="303" spans="1:14" x14ac:dyDescent="0.25">
      <c r="A303" s="13" t="s">
        <v>489</v>
      </c>
      <c r="B303" s="7" t="s">
        <v>490</v>
      </c>
      <c r="C303" s="7" t="s">
        <v>491</v>
      </c>
      <c r="D303" s="7"/>
      <c r="E303" s="8">
        <v>-8</v>
      </c>
      <c r="F303" s="8">
        <v>-18</v>
      </c>
      <c r="G303" s="8">
        <v>41</v>
      </c>
      <c r="H303" s="8">
        <v>-38</v>
      </c>
      <c r="I303" s="8">
        <v>-51</v>
      </c>
      <c r="J303" s="8">
        <v>-28</v>
      </c>
      <c r="K303" s="8">
        <v>-36</v>
      </c>
      <c r="L303" s="8">
        <v>68</v>
      </c>
      <c r="M303" s="8">
        <v>6</v>
      </c>
      <c r="N303" s="8" t="s">
        <v>1483</v>
      </c>
    </row>
    <row r="304" spans="1:14" x14ac:dyDescent="0.25">
      <c r="A304" s="13" t="s">
        <v>17</v>
      </c>
      <c r="B304" s="7"/>
      <c r="C304" s="7"/>
      <c r="D304" s="7"/>
      <c r="E304" s="8"/>
      <c r="F304" s="8"/>
      <c r="G304" s="8"/>
      <c r="H304" s="8"/>
      <c r="I304" s="8"/>
      <c r="J304" s="8"/>
      <c r="K304" s="8"/>
      <c r="L304" s="8"/>
      <c r="M304" s="8"/>
      <c r="N304" s="8"/>
    </row>
    <row r="305" spans="1:14" x14ac:dyDescent="0.25">
      <c r="A305" s="9" t="s">
        <v>492</v>
      </c>
      <c r="B305" s="9"/>
      <c r="C305" s="9"/>
      <c r="D305" s="9"/>
      <c r="E305" s="9"/>
      <c r="F305" s="9"/>
      <c r="G305" s="9"/>
      <c r="H305" s="9"/>
      <c r="I305" s="9"/>
      <c r="J305" s="9"/>
      <c r="K305" s="9"/>
      <c r="L305" s="9"/>
      <c r="M305" s="9"/>
      <c r="N305"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277D-8F3B-422A-B061-407607255810}">
  <sheetPr codeName="Sheet10">
    <tabColor theme="4" tint="0.59999389629810485"/>
  </sheetPr>
  <dimension ref="A1:L26"/>
  <sheetViews>
    <sheetView workbookViewId="0">
      <selection activeCell="B17" sqref="B17"/>
    </sheetView>
  </sheetViews>
  <sheetFormatPr defaultRowHeight="15" x14ac:dyDescent="0.25"/>
  <cols>
    <col min="1" max="1" width="23.5703125" customWidth="1"/>
    <col min="2" max="2" width="0" hidden="1" customWidth="1"/>
    <col min="3" max="12" width="11.85546875" customWidth="1"/>
  </cols>
  <sheetData>
    <row r="1" spans="1:12" x14ac:dyDescent="0.25">
      <c r="A1" s="39"/>
      <c r="B1" s="39"/>
      <c r="C1" s="39"/>
      <c r="D1" s="39"/>
      <c r="E1" s="39"/>
      <c r="F1" s="39"/>
      <c r="G1" s="39"/>
      <c r="H1" s="39"/>
      <c r="I1" s="39"/>
      <c r="J1" s="39"/>
      <c r="K1" s="39"/>
      <c r="L1" s="39"/>
    </row>
    <row r="2" spans="1:12" ht="20.25" x14ac:dyDescent="0.25">
      <c r="A2" s="1" t="s">
        <v>1698</v>
      </c>
      <c r="B2" s="1"/>
      <c r="C2" s="1"/>
      <c r="D2" s="1"/>
      <c r="E2" s="1"/>
      <c r="F2" s="1"/>
      <c r="G2" s="1"/>
      <c r="H2" s="1"/>
      <c r="I2" s="1"/>
      <c r="J2" s="1"/>
      <c r="K2" s="1"/>
      <c r="L2" s="1"/>
    </row>
    <row r="3" spans="1:12" x14ac:dyDescent="0.25">
      <c r="A3" s="38"/>
      <c r="B3" s="38"/>
      <c r="C3" s="38"/>
      <c r="D3" s="38"/>
      <c r="E3" s="38"/>
      <c r="F3" s="38"/>
      <c r="G3" s="38"/>
      <c r="H3" s="38"/>
      <c r="I3" s="38"/>
      <c r="J3" s="38"/>
      <c r="K3" s="38"/>
      <c r="L3" s="38"/>
    </row>
    <row r="4" spans="1:12" x14ac:dyDescent="0.25">
      <c r="A4" s="3" t="s">
        <v>2</v>
      </c>
      <c r="B4" s="3"/>
      <c r="C4" s="37" t="s">
        <v>1697</v>
      </c>
      <c r="D4" s="37" t="s">
        <v>1696</v>
      </c>
      <c r="E4" s="37" t="s">
        <v>1695</v>
      </c>
      <c r="F4" s="37" t="s">
        <v>1694</v>
      </c>
      <c r="G4" s="37" t="s">
        <v>1693</v>
      </c>
      <c r="H4" s="37" t="s">
        <v>1692</v>
      </c>
      <c r="I4" s="37" t="s">
        <v>1691</v>
      </c>
      <c r="J4" s="37" t="s">
        <v>1690</v>
      </c>
      <c r="K4" s="37" t="s">
        <v>1689</v>
      </c>
      <c r="L4" s="37" t="s">
        <v>1688</v>
      </c>
    </row>
    <row r="5" spans="1:12" x14ac:dyDescent="0.25">
      <c r="A5" s="4" t="s">
        <v>3</v>
      </c>
      <c r="B5" s="4"/>
      <c r="C5" s="36" t="s">
        <v>1687</v>
      </c>
      <c r="D5" s="36" t="s">
        <v>1686</v>
      </c>
      <c r="E5" s="36" t="s">
        <v>1685</v>
      </c>
      <c r="F5" s="36" t="s">
        <v>1684</v>
      </c>
      <c r="G5" s="36" t="s">
        <v>1683</v>
      </c>
      <c r="H5" s="36" t="s">
        <v>1682</v>
      </c>
      <c r="I5" s="36" t="s">
        <v>1681</v>
      </c>
      <c r="J5" s="36" t="s">
        <v>1681</v>
      </c>
      <c r="K5" s="36" t="s">
        <v>1680</v>
      </c>
      <c r="L5" s="36" t="s">
        <v>1679</v>
      </c>
    </row>
    <row r="6" spans="1:12" x14ac:dyDescent="0.25">
      <c r="A6" s="24" t="s">
        <v>1678</v>
      </c>
      <c r="B6" s="24" t="s">
        <v>1677</v>
      </c>
      <c r="C6" s="22">
        <v>78638.305900000007</v>
      </c>
      <c r="D6" s="22">
        <v>92184.2788</v>
      </c>
      <c r="E6" s="22">
        <v>100962.9999</v>
      </c>
      <c r="F6" s="22">
        <v>92620.452099999995</v>
      </c>
      <c r="G6" s="22">
        <v>113873.8682</v>
      </c>
      <c r="H6" s="22">
        <v>137323.07</v>
      </c>
      <c r="I6" s="22">
        <v>134437.27499999999</v>
      </c>
      <c r="J6" s="23">
        <v>131583.674012</v>
      </c>
      <c r="K6" s="22"/>
      <c r="L6" s="22"/>
    </row>
    <row r="7" spans="1:12" x14ac:dyDescent="0.25">
      <c r="A7" s="6" t="s">
        <v>1676</v>
      </c>
      <c r="B7" s="6" t="s">
        <v>1675</v>
      </c>
      <c r="C7" s="34">
        <v>4425</v>
      </c>
      <c r="D7" s="34">
        <v>3024</v>
      </c>
      <c r="E7" s="34">
        <v>3019</v>
      </c>
      <c r="F7" s="34">
        <v>1928</v>
      </c>
      <c r="G7" s="34">
        <v>3053</v>
      </c>
      <c r="H7" s="34">
        <v>4493</v>
      </c>
      <c r="I7" s="34">
        <v>4100</v>
      </c>
      <c r="J7" s="35">
        <v>4100</v>
      </c>
      <c r="K7" s="34"/>
      <c r="L7" s="34"/>
    </row>
    <row r="8" spans="1:12" x14ac:dyDescent="0.25">
      <c r="A8" s="6" t="s">
        <v>1674</v>
      </c>
      <c r="B8" s="6" t="s">
        <v>1673</v>
      </c>
      <c r="C8" s="34">
        <v>0</v>
      </c>
      <c r="D8" s="34">
        <v>0</v>
      </c>
      <c r="E8" s="34">
        <v>0</v>
      </c>
      <c r="F8" s="34">
        <v>0</v>
      </c>
      <c r="G8" s="34">
        <v>0</v>
      </c>
      <c r="H8" s="34">
        <v>0</v>
      </c>
      <c r="I8" s="34">
        <v>0</v>
      </c>
      <c r="J8" s="35">
        <v>0</v>
      </c>
      <c r="K8" s="34"/>
      <c r="L8" s="34"/>
    </row>
    <row r="9" spans="1:12" x14ac:dyDescent="0.25">
      <c r="A9" s="6" t="s">
        <v>1672</v>
      </c>
      <c r="B9" s="6" t="s">
        <v>1671</v>
      </c>
      <c r="C9" s="34">
        <v>11477</v>
      </c>
      <c r="D9" s="34">
        <v>14425</v>
      </c>
      <c r="E9" s="34">
        <v>12901</v>
      </c>
      <c r="F9" s="34">
        <v>13526</v>
      </c>
      <c r="G9" s="34">
        <v>13494</v>
      </c>
      <c r="H9" s="34">
        <v>14120</v>
      </c>
      <c r="I9" s="34">
        <v>16360</v>
      </c>
      <c r="J9" s="35">
        <v>16360</v>
      </c>
      <c r="K9" s="34"/>
      <c r="L9" s="34"/>
    </row>
    <row r="10" spans="1:12" x14ac:dyDescent="0.25">
      <c r="A10" s="24" t="s">
        <v>1670</v>
      </c>
      <c r="B10" s="24" t="s">
        <v>1669</v>
      </c>
      <c r="C10" s="22">
        <v>85690.305900000007</v>
      </c>
      <c r="D10" s="22">
        <v>103585.2788</v>
      </c>
      <c r="E10" s="22">
        <v>110844.9999</v>
      </c>
      <c r="F10" s="22">
        <v>104218.45209999999</v>
      </c>
      <c r="G10" s="22">
        <v>124314.8682</v>
      </c>
      <c r="H10" s="22">
        <v>146950.07</v>
      </c>
      <c r="I10" s="22">
        <v>146697.27499999999</v>
      </c>
      <c r="J10" s="23">
        <v>143843.674012</v>
      </c>
      <c r="K10" s="22"/>
      <c r="L10" s="22"/>
    </row>
    <row r="11" spans="1:12" x14ac:dyDescent="0.25">
      <c r="A11" s="24"/>
      <c r="B11" s="25"/>
      <c r="C11" s="25"/>
      <c r="D11" s="25"/>
      <c r="E11" s="25"/>
      <c r="F11" s="25"/>
      <c r="G11" s="25"/>
      <c r="H11" s="25"/>
      <c r="I11" s="25"/>
      <c r="J11" s="26"/>
      <c r="K11" s="25"/>
      <c r="L11" s="25"/>
    </row>
    <row r="12" spans="1:12" x14ac:dyDescent="0.25">
      <c r="A12" s="24" t="s">
        <v>1668</v>
      </c>
      <c r="B12" s="24" t="s">
        <v>20</v>
      </c>
      <c r="C12" s="22">
        <v>14884</v>
      </c>
      <c r="D12" s="22">
        <v>14351</v>
      </c>
      <c r="E12" s="22">
        <v>17108</v>
      </c>
      <c r="F12" s="22">
        <v>18449</v>
      </c>
      <c r="G12" s="22">
        <v>20498</v>
      </c>
      <c r="H12" s="22">
        <v>22595</v>
      </c>
      <c r="I12" s="22">
        <v>25116</v>
      </c>
      <c r="J12" s="23">
        <v>25116</v>
      </c>
      <c r="K12" s="22">
        <v>27317.214285714301</v>
      </c>
      <c r="L12" s="22">
        <v>29602.892857142899</v>
      </c>
    </row>
    <row r="13" spans="1:12" x14ac:dyDescent="0.25">
      <c r="A13" s="29" t="s">
        <v>1658</v>
      </c>
      <c r="B13" s="29" t="s">
        <v>1667</v>
      </c>
      <c r="C13" s="32">
        <v>9.4330999999999996</v>
      </c>
      <c r="D13" s="32">
        <v>-3.581</v>
      </c>
      <c r="E13" s="32">
        <v>19.211200000000002</v>
      </c>
      <c r="F13" s="32">
        <v>7.8384</v>
      </c>
      <c r="G13" s="32">
        <v>11.106299999999999</v>
      </c>
      <c r="H13" s="32">
        <v>10.2303</v>
      </c>
      <c r="I13" s="32">
        <v>11.157299999999999</v>
      </c>
      <c r="J13" s="33">
        <v>11.1573356937376</v>
      </c>
      <c r="K13" s="32">
        <v>8.7641912952471994</v>
      </c>
      <c r="L13" s="32">
        <v>8.3671729757008197</v>
      </c>
    </row>
    <row r="14" spans="1:12" x14ac:dyDescent="0.25">
      <c r="A14" s="24" t="s">
        <v>1666</v>
      </c>
      <c r="B14" s="24" t="s">
        <v>1665</v>
      </c>
      <c r="C14" s="22">
        <v>9807</v>
      </c>
      <c r="D14" s="22">
        <v>9160</v>
      </c>
      <c r="E14" s="22">
        <v>11267</v>
      </c>
      <c r="F14" s="22">
        <v>11649</v>
      </c>
      <c r="G14" s="22">
        <v>13099</v>
      </c>
      <c r="H14" s="22">
        <v>14565</v>
      </c>
      <c r="I14" s="22">
        <v>16391</v>
      </c>
      <c r="J14" s="23">
        <v>16391</v>
      </c>
      <c r="K14" s="22">
        <v>17835.4092071429</v>
      </c>
      <c r="L14" s="22">
        <v>19399.6637760714</v>
      </c>
    </row>
    <row r="15" spans="1:12" x14ac:dyDescent="0.25">
      <c r="A15" s="29" t="s">
        <v>1662</v>
      </c>
      <c r="B15" s="29" t="s">
        <v>1665</v>
      </c>
      <c r="C15" s="32">
        <v>65.889545821015901</v>
      </c>
      <c r="D15" s="32">
        <v>63.828304647759701</v>
      </c>
      <c r="E15" s="32">
        <v>65.858078092120607</v>
      </c>
      <c r="F15" s="32">
        <v>63.141633692883097</v>
      </c>
      <c r="G15" s="32">
        <v>63.903795492243098</v>
      </c>
      <c r="H15" s="32">
        <v>64.461163974330603</v>
      </c>
      <c r="I15" s="32">
        <v>65.261188087275002</v>
      </c>
      <c r="J15" s="33">
        <v>65.261188087275002</v>
      </c>
      <c r="K15" s="32">
        <v>65.290000000000006</v>
      </c>
      <c r="L15" s="32">
        <v>65.533000000000001</v>
      </c>
    </row>
    <row r="16" spans="1:12" x14ac:dyDescent="0.25">
      <c r="A16" s="24" t="s">
        <v>1664</v>
      </c>
      <c r="B16" s="24" t="s">
        <v>1135</v>
      </c>
      <c r="C16" s="22">
        <v>4355</v>
      </c>
      <c r="D16" s="22">
        <v>3969</v>
      </c>
      <c r="E16" s="22">
        <v>4886</v>
      </c>
      <c r="F16" s="22">
        <v>4904</v>
      </c>
      <c r="G16" s="22">
        <v>5520</v>
      </c>
      <c r="H16" s="22">
        <v>6332</v>
      </c>
      <c r="I16" s="22">
        <v>7269</v>
      </c>
      <c r="J16" s="23">
        <v>7269</v>
      </c>
      <c r="K16" s="22">
        <v>7838.9166666666697</v>
      </c>
      <c r="L16" s="22">
        <v>8626.3478260869597</v>
      </c>
    </row>
    <row r="17" spans="1:12" x14ac:dyDescent="0.25">
      <c r="A17" s="29" t="s">
        <v>1662</v>
      </c>
      <c r="B17" s="29" t="s">
        <v>1135</v>
      </c>
      <c r="C17" s="32">
        <v>29.2596076323569</v>
      </c>
      <c r="D17" s="32">
        <v>27.656609295519502</v>
      </c>
      <c r="E17" s="32">
        <v>28.559738134206199</v>
      </c>
      <c r="F17" s="32">
        <v>26.581386525014899</v>
      </c>
      <c r="G17" s="32">
        <v>26.929456532344599</v>
      </c>
      <c r="H17" s="32">
        <v>28.023899092719599</v>
      </c>
      <c r="I17" s="32">
        <v>28.941710463449599</v>
      </c>
      <c r="J17" s="33">
        <v>28.941710463449599</v>
      </c>
      <c r="K17" s="32">
        <v>28.6958859885141</v>
      </c>
      <c r="L17" s="32">
        <v>29.140219058035399</v>
      </c>
    </row>
    <row r="18" spans="1:12" x14ac:dyDescent="0.25">
      <c r="A18" s="24" t="s">
        <v>1663</v>
      </c>
      <c r="B18" s="24" t="s">
        <v>1661</v>
      </c>
      <c r="C18" s="22">
        <v>2764</v>
      </c>
      <c r="D18" s="22">
        <v>2446</v>
      </c>
      <c r="E18" s="22">
        <v>2985</v>
      </c>
      <c r="F18" s="22">
        <v>3076</v>
      </c>
      <c r="G18" s="22">
        <v>3563</v>
      </c>
      <c r="H18" s="22">
        <v>4205</v>
      </c>
      <c r="I18" s="22">
        <v>4686</v>
      </c>
      <c r="J18" s="23">
        <v>4686</v>
      </c>
      <c r="K18" s="22">
        <v>5814.8329999999996</v>
      </c>
      <c r="L18" s="22">
        <v>6484.64</v>
      </c>
    </row>
    <row r="19" spans="1:12" x14ac:dyDescent="0.25">
      <c r="A19" s="29" t="s">
        <v>1662</v>
      </c>
      <c r="B19" s="29" t="s">
        <v>1661</v>
      </c>
      <c r="C19" s="32">
        <v>18.570276807309899</v>
      </c>
      <c r="D19" s="32">
        <v>17.044108424499999</v>
      </c>
      <c r="E19" s="32">
        <v>17.447977554360499</v>
      </c>
      <c r="F19" s="32">
        <v>16.672990405984098</v>
      </c>
      <c r="G19" s="32">
        <v>17.382183627671001</v>
      </c>
      <c r="H19" s="32">
        <v>18.610312015932699</v>
      </c>
      <c r="I19" s="32">
        <v>18.657429526994701</v>
      </c>
      <c r="J19" s="33">
        <v>18.657429526994701</v>
      </c>
      <c r="K19" s="32">
        <v>21.2863322708601</v>
      </c>
      <c r="L19" s="32">
        <v>21.905426713846701</v>
      </c>
    </row>
    <row r="20" spans="1:12" x14ac:dyDescent="0.25">
      <c r="A20" s="24" t="s">
        <v>1660</v>
      </c>
      <c r="B20" s="24" t="s">
        <v>1659</v>
      </c>
      <c r="C20" s="30">
        <v>7.2725999999999997</v>
      </c>
      <c r="D20" s="30">
        <v>6.4272</v>
      </c>
      <c r="E20" s="30">
        <v>7.8022</v>
      </c>
      <c r="F20" s="30">
        <v>8.0486000000000004</v>
      </c>
      <c r="G20" s="30">
        <v>9.2873000000000001</v>
      </c>
      <c r="H20" s="30">
        <v>10.9032</v>
      </c>
      <c r="I20" s="30">
        <v>12.1257</v>
      </c>
      <c r="J20" s="31">
        <v>12.125771</v>
      </c>
      <c r="K20" s="30">
        <v>15.013</v>
      </c>
      <c r="L20" s="30">
        <v>16.745999999999999</v>
      </c>
    </row>
    <row r="21" spans="1:12" x14ac:dyDescent="0.25">
      <c r="A21" s="29" t="s">
        <v>1658</v>
      </c>
      <c r="B21" s="29" t="s">
        <v>1657</v>
      </c>
      <c r="C21" s="27">
        <v>13.3508</v>
      </c>
      <c r="D21" s="27">
        <v>-11.6243</v>
      </c>
      <c r="E21" s="27">
        <v>21.393699999999999</v>
      </c>
      <c r="F21" s="27">
        <v>3.1579999999999999</v>
      </c>
      <c r="G21" s="27">
        <v>15.389900000000001</v>
      </c>
      <c r="H21" s="27">
        <v>17.398900000000001</v>
      </c>
      <c r="I21" s="27">
        <v>11.213200000000001</v>
      </c>
      <c r="J21" s="28">
        <v>11.531853541543599</v>
      </c>
      <c r="K21" s="27">
        <v>23.810959558440299</v>
      </c>
      <c r="L21" s="27">
        <v>11.5433291147672</v>
      </c>
    </row>
    <row r="22" spans="1:12" x14ac:dyDescent="0.25">
      <c r="A22" s="24"/>
      <c r="B22" s="25"/>
      <c r="C22" s="25"/>
      <c r="D22" s="25"/>
      <c r="E22" s="25"/>
      <c r="F22" s="25"/>
      <c r="G22" s="25"/>
      <c r="H22" s="25"/>
      <c r="I22" s="25"/>
      <c r="J22" s="26"/>
      <c r="K22" s="25"/>
      <c r="L22" s="25"/>
    </row>
    <row r="23" spans="1:12" x14ac:dyDescent="0.25">
      <c r="A23" s="24" t="s">
        <v>1656</v>
      </c>
      <c r="B23" s="24" t="s">
        <v>1287</v>
      </c>
      <c r="C23" s="22">
        <v>2191</v>
      </c>
      <c r="D23" s="22">
        <v>3277</v>
      </c>
      <c r="E23" s="22">
        <v>3263</v>
      </c>
      <c r="F23" s="22">
        <v>2624</v>
      </c>
      <c r="G23" s="22">
        <v>3711</v>
      </c>
      <c r="H23" s="22">
        <v>4242</v>
      </c>
      <c r="I23" s="22">
        <v>5044</v>
      </c>
      <c r="J23" s="23">
        <v>5044</v>
      </c>
      <c r="K23" s="22"/>
      <c r="L23" s="22"/>
    </row>
    <row r="24" spans="1:12" x14ac:dyDescent="0.25">
      <c r="A24" s="24" t="s">
        <v>1636</v>
      </c>
      <c r="B24" s="24" t="s">
        <v>1655</v>
      </c>
      <c r="C24" s="22">
        <v>-649</v>
      </c>
      <c r="D24" s="22">
        <v>-487</v>
      </c>
      <c r="E24" s="22">
        <v>-525</v>
      </c>
      <c r="F24" s="22">
        <v>-588</v>
      </c>
      <c r="G24" s="22">
        <v>-575</v>
      </c>
      <c r="H24" s="22">
        <v>-755</v>
      </c>
      <c r="I24" s="22">
        <v>-761</v>
      </c>
      <c r="J24" s="23">
        <v>-761</v>
      </c>
      <c r="K24" s="22">
        <v>-833.4</v>
      </c>
      <c r="L24" s="22">
        <v>-889.66700000000003</v>
      </c>
    </row>
    <row r="25" spans="1:12" x14ac:dyDescent="0.25">
      <c r="A25" s="24" t="s">
        <v>1529</v>
      </c>
      <c r="B25" s="24" t="s">
        <v>59</v>
      </c>
      <c r="C25" s="22">
        <v>1542</v>
      </c>
      <c r="D25" s="22">
        <v>2790</v>
      </c>
      <c r="E25" s="22">
        <v>2738</v>
      </c>
      <c r="F25" s="22">
        <v>2036</v>
      </c>
      <c r="G25" s="22">
        <v>3136</v>
      </c>
      <c r="H25" s="22">
        <v>3487</v>
      </c>
      <c r="I25" s="22">
        <v>4283</v>
      </c>
      <c r="J25" s="23">
        <v>4283</v>
      </c>
      <c r="K25" s="22">
        <v>5415.5249999999996</v>
      </c>
      <c r="L25" s="22">
        <v>5637.65</v>
      </c>
    </row>
    <row r="26" spans="1:12" x14ac:dyDescent="0.25">
      <c r="A26" s="9" t="s">
        <v>492</v>
      </c>
      <c r="B26" s="9"/>
      <c r="C26" s="9" t="s">
        <v>1654</v>
      </c>
      <c r="D26" s="9"/>
      <c r="E26" s="9"/>
      <c r="F26" s="9"/>
      <c r="G26" s="9"/>
      <c r="H26" s="9"/>
      <c r="I26" s="9"/>
      <c r="J26" s="9"/>
      <c r="K26" s="9"/>
      <c r="L26"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6FCCE-28A4-41A1-ADED-91E056553F5B}">
  <sheetPr codeName="Sheet11">
    <tabColor theme="4" tint="0.59999389629810485"/>
  </sheetPr>
  <dimension ref="A1:L75"/>
  <sheetViews>
    <sheetView workbookViewId="0">
      <selection activeCell="B65" sqref="B65"/>
    </sheetView>
  </sheetViews>
  <sheetFormatPr defaultRowHeight="15" x14ac:dyDescent="0.25"/>
  <cols>
    <col min="1" max="1" width="35.140625" customWidth="1"/>
    <col min="2" max="2" width="0" hidden="1" customWidth="1"/>
    <col min="3" max="12" width="11.85546875" customWidth="1"/>
  </cols>
  <sheetData>
    <row r="1" spans="1:12" x14ac:dyDescent="0.25">
      <c r="A1" s="39"/>
      <c r="B1" s="39"/>
      <c r="C1" s="39"/>
      <c r="D1" s="39"/>
      <c r="E1" s="39"/>
      <c r="F1" s="39"/>
      <c r="G1" s="39"/>
      <c r="H1" s="39"/>
      <c r="I1" s="39"/>
      <c r="J1" s="39"/>
      <c r="K1" s="39"/>
      <c r="L1" s="39"/>
    </row>
    <row r="2" spans="1:12" ht="20.25" x14ac:dyDescent="0.25">
      <c r="A2" s="1" t="s">
        <v>1801</v>
      </c>
      <c r="B2" s="1"/>
      <c r="C2" s="1"/>
      <c r="D2" s="1"/>
      <c r="E2" s="1"/>
      <c r="F2" s="1"/>
      <c r="G2" s="1"/>
      <c r="H2" s="1"/>
      <c r="I2" s="1"/>
      <c r="J2" s="1"/>
      <c r="K2" s="1"/>
      <c r="L2" s="1"/>
    </row>
    <row r="3" spans="1:12" x14ac:dyDescent="0.25">
      <c r="A3" s="38"/>
      <c r="B3" s="38"/>
      <c r="C3" s="38"/>
      <c r="D3" s="38"/>
      <c r="E3" s="38"/>
      <c r="F3" s="38"/>
      <c r="G3" s="38"/>
      <c r="H3" s="38"/>
      <c r="I3" s="38"/>
      <c r="J3" s="38"/>
      <c r="K3" s="38"/>
      <c r="L3" s="38"/>
    </row>
    <row r="4" spans="1:12" x14ac:dyDescent="0.25">
      <c r="A4" s="3" t="s">
        <v>1800</v>
      </c>
      <c r="B4" s="3"/>
      <c r="C4" s="37" t="s">
        <v>1697</v>
      </c>
      <c r="D4" s="37" t="s">
        <v>1696</v>
      </c>
      <c r="E4" s="37" t="s">
        <v>1695</v>
      </c>
      <c r="F4" s="37" t="s">
        <v>1694</v>
      </c>
      <c r="G4" s="37" t="s">
        <v>1693</v>
      </c>
      <c r="H4" s="37" t="s">
        <v>1692</v>
      </c>
      <c r="I4" s="37" t="s">
        <v>1691</v>
      </c>
      <c r="J4" s="37" t="s">
        <v>1799</v>
      </c>
      <c r="K4" s="37" t="s">
        <v>1689</v>
      </c>
      <c r="L4" s="37" t="s">
        <v>1688</v>
      </c>
    </row>
    <row r="5" spans="1:12" x14ac:dyDescent="0.25">
      <c r="A5" s="4" t="s">
        <v>3</v>
      </c>
      <c r="B5" s="4"/>
      <c r="C5" s="36" t="s">
        <v>1687</v>
      </c>
      <c r="D5" s="36" t="s">
        <v>1686</v>
      </c>
      <c r="E5" s="36" t="s">
        <v>1685</v>
      </c>
      <c r="F5" s="36" t="s">
        <v>1684</v>
      </c>
      <c r="G5" s="36" t="s">
        <v>1683</v>
      </c>
      <c r="H5" s="36" t="s">
        <v>1682</v>
      </c>
      <c r="I5" s="36" t="s">
        <v>1681</v>
      </c>
      <c r="J5" s="36" t="s">
        <v>1681</v>
      </c>
      <c r="K5" s="36" t="s">
        <v>1680</v>
      </c>
      <c r="L5" s="36" t="s">
        <v>1679</v>
      </c>
    </row>
    <row r="6" spans="1:12" x14ac:dyDescent="0.25">
      <c r="A6" s="24" t="s">
        <v>1518</v>
      </c>
      <c r="B6" s="24" t="s">
        <v>20</v>
      </c>
      <c r="C6" s="22">
        <v>14884</v>
      </c>
      <c r="D6" s="22">
        <v>14351</v>
      </c>
      <c r="E6" s="22">
        <v>17108</v>
      </c>
      <c r="F6" s="22">
        <v>18449</v>
      </c>
      <c r="G6" s="22">
        <v>20498</v>
      </c>
      <c r="H6" s="22">
        <v>22595</v>
      </c>
      <c r="I6" s="22">
        <v>25116</v>
      </c>
      <c r="J6" s="23">
        <v>25116</v>
      </c>
      <c r="K6" s="22">
        <v>27317.214285714301</v>
      </c>
      <c r="L6" s="22">
        <v>29602.892857142899</v>
      </c>
    </row>
    <row r="7" spans="1:12" x14ac:dyDescent="0.25">
      <c r="A7" s="6" t="s">
        <v>1798</v>
      </c>
      <c r="B7" s="6" t="s">
        <v>1797</v>
      </c>
      <c r="C7" s="34">
        <v>14884</v>
      </c>
      <c r="D7" s="34">
        <v>14351</v>
      </c>
      <c r="E7" s="34">
        <v>17108</v>
      </c>
      <c r="F7" s="34">
        <v>18449</v>
      </c>
      <c r="G7" s="34">
        <v>20498</v>
      </c>
      <c r="H7" s="34">
        <v>22595</v>
      </c>
      <c r="I7" s="34">
        <v>25116</v>
      </c>
      <c r="J7" s="35">
        <v>25116</v>
      </c>
      <c r="K7" s="34"/>
      <c r="L7" s="34"/>
    </row>
    <row r="8" spans="1:12" x14ac:dyDescent="0.25">
      <c r="A8" s="6" t="s">
        <v>1796</v>
      </c>
      <c r="B8" s="6" t="s">
        <v>207</v>
      </c>
      <c r="C8" s="34">
        <v>5077</v>
      </c>
      <c r="D8" s="34">
        <v>5191</v>
      </c>
      <c r="E8" s="34">
        <v>5841</v>
      </c>
      <c r="F8" s="34">
        <v>6800</v>
      </c>
      <c r="G8" s="34">
        <v>7399</v>
      </c>
      <c r="H8" s="34">
        <v>8030</v>
      </c>
      <c r="I8" s="34">
        <v>8725</v>
      </c>
      <c r="J8" s="35">
        <v>8725</v>
      </c>
      <c r="K8" s="34"/>
      <c r="L8" s="34"/>
    </row>
    <row r="9" spans="1:12" x14ac:dyDescent="0.25">
      <c r="A9" s="6" t="s">
        <v>1795</v>
      </c>
      <c r="B9" s="6" t="s">
        <v>1794</v>
      </c>
      <c r="C9" s="34">
        <v>5077</v>
      </c>
      <c r="D9" s="34">
        <v>5191</v>
      </c>
      <c r="E9" s="34">
        <v>5841</v>
      </c>
      <c r="F9" s="34">
        <v>6800</v>
      </c>
      <c r="G9" s="34">
        <v>7399</v>
      </c>
      <c r="H9" s="34">
        <v>8030</v>
      </c>
      <c r="I9" s="34">
        <v>8725</v>
      </c>
      <c r="J9" s="35">
        <v>8725</v>
      </c>
      <c r="K9" s="34"/>
      <c r="L9" s="34"/>
    </row>
    <row r="10" spans="1:12" x14ac:dyDescent="0.25">
      <c r="A10" s="24" t="s">
        <v>1550</v>
      </c>
      <c r="B10" s="24" t="s">
        <v>1665</v>
      </c>
      <c r="C10" s="22">
        <v>9807</v>
      </c>
      <c r="D10" s="22">
        <v>9160</v>
      </c>
      <c r="E10" s="22">
        <v>11267</v>
      </c>
      <c r="F10" s="22">
        <v>11649</v>
      </c>
      <c r="G10" s="22">
        <v>13099</v>
      </c>
      <c r="H10" s="22">
        <v>14565</v>
      </c>
      <c r="I10" s="22">
        <v>16391</v>
      </c>
      <c r="J10" s="23">
        <v>16391</v>
      </c>
      <c r="K10" s="22">
        <v>17835.4092071429</v>
      </c>
      <c r="L10" s="22">
        <v>19399.6637760714</v>
      </c>
    </row>
    <row r="11" spans="1:12" x14ac:dyDescent="0.25">
      <c r="A11" s="6" t="s">
        <v>1793</v>
      </c>
      <c r="B11" s="6" t="s">
        <v>1792</v>
      </c>
      <c r="C11" s="34">
        <v>0</v>
      </c>
      <c r="D11" s="34">
        <v>0</v>
      </c>
      <c r="E11" s="34">
        <v>0</v>
      </c>
      <c r="F11" s="34">
        <v>0</v>
      </c>
      <c r="G11" s="34">
        <v>0</v>
      </c>
      <c r="H11" s="34">
        <v>0</v>
      </c>
      <c r="I11" s="34">
        <v>0</v>
      </c>
      <c r="J11" s="35">
        <v>0</v>
      </c>
      <c r="K11" s="34"/>
      <c r="L11" s="34"/>
    </row>
    <row r="12" spans="1:12" x14ac:dyDescent="0.25">
      <c r="A12" s="6" t="s">
        <v>1791</v>
      </c>
      <c r="B12" s="6" t="s">
        <v>1448</v>
      </c>
      <c r="C12" s="34">
        <v>6363</v>
      </c>
      <c r="D12" s="34">
        <v>6133</v>
      </c>
      <c r="E12" s="34">
        <v>7504</v>
      </c>
      <c r="F12" s="34">
        <v>7892</v>
      </c>
      <c r="G12" s="34">
        <v>8779</v>
      </c>
      <c r="H12" s="34">
        <v>9473</v>
      </c>
      <c r="I12" s="34">
        <v>10520</v>
      </c>
      <c r="J12" s="35">
        <v>10520</v>
      </c>
      <c r="K12" s="34"/>
      <c r="L12" s="34"/>
    </row>
    <row r="13" spans="1:12" x14ac:dyDescent="0.25">
      <c r="A13" s="6" t="s">
        <v>1790</v>
      </c>
      <c r="B13" s="6" t="s">
        <v>1789</v>
      </c>
      <c r="C13" s="34">
        <v>4984</v>
      </c>
      <c r="D13" s="34">
        <v>4755</v>
      </c>
      <c r="E13" s="34">
        <v>5752</v>
      </c>
      <c r="F13" s="34">
        <v>6035</v>
      </c>
      <c r="G13" s="34">
        <v>6851</v>
      </c>
      <c r="H13" s="34">
        <v>7436</v>
      </c>
      <c r="I13" s="34">
        <v>8221</v>
      </c>
      <c r="J13" s="35">
        <v>8221</v>
      </c>
      <c r="K13" s="34"/>
      <c r="L13" s="34"/>
    </row>
    <row r="14" spans="1:12" x14ac:dyDescent="0.25">
      <c r="A14" s="6" t="s">
        <v>1788</v>
      </c>
      <c r="B14" s="6" t="s">
        <v>1787</v>
      </c>
      <c r="C14" s="34">
        <v>915</v>
      </c>
      <c r="D14" s="34">
        <v>905</v>
      </c>
      <c r="E14" s="34">
        <v>1133</v>
      </c>
      <c r="F14" s="34">
        <v>1230</v>
      </c>
      <c r="G14" s="34">
        <v>1293</v>
      </c>
      <c r="H14" s="34">
        <v>1414</v>
      </c>
      <c r="I14" s="34">
        <v>1567</v>
      </c>
      <c r="J14" s="35">
        <v>1503</v>
      </c>
      <c r="K14" s="34"/>
      <c r="L14" s="34"/>
    </row>
    <row r="15" spans="1:12" x14ac:dyDescent="0.25">
      <c r="A15" s="6" t="s">
        <v>1786</v>
      </c>
      <c r="B15" s="6" t="s">
        <v>1785</v>
      </c>
      <c r="C15" s="34">
        <v>464</v>
      </c>
      <c r="D15" s="34">
        <v>473</v>
      </c>
      <c r="E15" s="34">
        <v>619</v>
      </c>
      <c r="F15" s="34">
        <v>627</v>
      </c>
      <c r="G15" s="34">
        <v>635</v>
      </c>
      <c r="H15" s="34">
        <v>623</v>
      </c>
      <c r="I15" s="34">
        <v>732</v>
      </c>
      <c r="J15" s="35">
        <v>796</v>
      </c>
      <c r="K15" s="34"/>
      <c r="L15" s="34"/>
    </row>
    <row r="16" spans="1:12" x14ac:dyDescent="0.25">
      <c r="A16" s="24" t="s">
        <v>1784</v>
      </c>
      <c r="B16" s="24" t="s">
        <v>1141</v>
      </c>
      <c r="C16" s="22">
        <v>3444</v>
      </c>
      <c r="D16" s="22">
        <v>3027</v>
      </c>
      <c r="E16" s="22">
        <v>3763</v>
      </c>
      <c r="F16" s="22">
        <v>3757</v>
      </c>
      <c r="G16" s="22">
        <v>4320</v>
      </c>
      <c r="H16" s="22">
        <v>5092</v>
      </c>
      <c r="I16" s="22">
        <v>5871</v>
      </c>
      <c r="J16" s="23">
        <v>5871</v>
      </c>
      <c r="K16" s="22">
        <v>7296.6923076923104</v>
      </c>
      <c r="L16" s="22">
        <v>8076.7692307692296</v>
      </c>
    </row>
    <row r="17" spans="1:12" x14ac:dyDescent="0.25">
      <c r="A17" s="6" t="s">
        <v>1783</v>
      </c>
      <c r="B17" s="6" t="s">
        <v>1782</v>
      </c>
      <c r="C17" s="34">
        <v>151</v>
      </c>
      <c r="D17" s="34">
        <v>269</v>
      </c>
      <c r="E17" s="34">
        <v>303</v>
      </c>
      <c r="F17" s="34">
        <v>158</v>
      </c>
      <c r="G17" s="34">
        <v>215</v>
      </c>
      <c r="H17" s="34">
        <v>196</v>
      </c>
      <c r="I17" s="34">
        <v>402</v>
      </c>
      <c r="J17" s="35">
        <v>402</v>
      </c>
      <c r="K17" s="34"/>
      <c r="L17" s="34"/>
    </row>
    <row r="18" spans="1:12" x14ac:dyDescent="0.25">
      <c r="A18" s="6" t="s">
        <v>1781</v>
      </c>
      <c r="B18" s="6" t="s">
        <v>621</v>
      </c>
      <c r="C18" s="34">
        <v>287</v>
      </c>
      <c r="D18" s="34">
        <v>315</v>
      </c>
      <c r="E18" s="34">
        <v>337</v>
      </c>
      <c r="F18" s="34">
        <v>337</v>
      </c>
      <c r="G18" s="34">
        <v>356</v>
      </c>
      <c r="H18" s="34">
        <v>396</v>
      </c>
      <c r="I18" s="34">
        <v>582</v>
      </c>
      <c r="J18" s="35"/>
      <c r="K18" s="34"/>
      <c r="L18" s="34"/>
    </row>
    <row r="19" spans="1:12" x14ac:dyDescent="0.25">
      <c r="A19" s="29" t="s">
        <v>1780</v>
      </c>
      <c r="B19" s="29" t="s">
        <v>618</v>
      </c>
      <c r="C19" s="32">
        <v>287</v>
      </c>
      <c r="D19" s="32">
        <v>315</v>
      </c>
      <c r="E19" s="32">
        <v>337</v>
      </c>
      <c r="F19" s="32">
        <v>337</v>
      </c>
      <c r="G19" s="32">
        <v>356</v>
      </c>
      <c r="H19" s="32">
        <v>396</v>
      </c>
      <c r="I19" s="32">
        <v>582</v>
      </c>
      <c r="J19" s="33"/>
      <c r="K19" s="32"/>
      <c r="L19" s="32"/>
    </row>
    <row r="20" spans="1:12" x14ac:dyDescent="0.25">
      <c r="A20" s="29" t="s">
        <v>1779</v>
      </c>
      <c r="B20" s="29" t="s">
        <v>615</v>
      </c>
      <c r="C20" s="32">
        <v>0</v>
      </c>
      <c r="D20" s="32">
        <v>0</v>
      </c>
      <c r="E20" s="32">
        <v>0</v>
      </c>
      <c r="F20" s="32">
        <v>0</v>
      </c>
      <c r="G20" s="32">
        <v>0</v>
      </c>
      <c r="H20" s="32">
        <v>0</v>
      </c>
      <c r="I20" s="32">
        <v>0</v>
      </c>
      <c r="J20" s="33"/>
      <c r="K20" s="32"/>
      <c r="L20" s="32"/>
    </row>
    <row r="21" spans="1:12" x14ac:dyDescent="0.25">
      <c r="A21" s="6" t="s">
        <v>1778</v>
      </c>
      <c r="B21" s="6" t="s">
        <v>1146</v>
      </c>
      <c r="C21" s="34">
        <v>0</v>
      </c>
      <c r="D21" s="34">
        <v>0</v>
      </c>
      <c r="E21" s="34">
        <v>0</v>
      </c>
      <c r="F21" s="34">
        <v>0</v>
      </c>
      <c r="G21" s="34">
        <v>0</v>
      </c>
      <c r="H21" s="34">
        <v>0</v>
      </c>
      <c r="I21" s="34">
        <v>0</v>
      </c>
      <c r="J21" s="35"/>
      <c r="K21" s="34"/>
      <c r="L21" s="34"/>
    </row>
    <row r="22" spans="1:12" x14ac:dyDescent="0.25">
      <c r="A22" s="6" t="s">
        <v>1777</v>
      </c>
      <c r="B22" s="6" t="s">
        <v>1776</v>
      </c>
      <c r="C22" s="34">
        <v>-136</v>
      </c>
      <c r="D22" s="34">
        <v>-46</v>
      </c>
      <c r="E22" s="34">
        <v>-34</v>
      </c>
      <c r="F22" s="34">
        <v>-179</v>
      </c>
      <c r="G22" s="34">
        <v>-141</v>
      </c>
      <c r="H22" s="34">
        <v>-200</v>
      </c>
      <c r="I22" s="34">
        <v>-180</v>
      </c>
      <c r="J22" s="35">
        <v>402</v>
      </c>
      <c r="K22" s="34"/>
      <c r="L22" s="34"/>
    </row>
    <row r="23" spans="1:12" x14ac:dyDescent="0.25">
      <c r="A23" s="24" t="s">
        <v>1775</v>
      </c>
      <c r="B23" s="24" t="s">
        <v>235</v>
      </c>
      <c r="C23" s="22">
        <v>3293</v>
      </c>
      <c r="D23" s="22">
        <v>2758</v>
      </c>
      <c r="E23" s="22">
        <v>3460</v>
      </c>
      <c r="F23" s="22">
        <v>3599</v>
      </c>
      <c r="G23" s="22">
        <v>4105</v>
      </c>
      <c r="H23" s="22">
        <v>4896</v>
      </c>
      <c r="I23" s="22">
        <v>5469</v>
      </c>
      <c r="J23" s="23">
        <v>5469</v>
      </c>
      <c r="K23" s="22">
        <v>6872.7389999999996</v>
      </c>
      <c r="L23" s="22">
        <v>7680.2610000000004</v>
      </c>
    </row>
    <row r="24" spans="1:12" x14ac:dyDescent="0.25">
      <c r="A24" s="6" t="s">
        <v>1774</v>
      </c>
      <c r="B24" s="6" t="s">
        <v>1773</v>
      </c>
      <c r="C24" s="34">
        <v>731</v>
      </c>
      <c r="D24" s="34">
        <v>804</v>
      </c>
      <c r="E24" s="34">
        <v>1179</v>
      </c>
      <c r="F24" s="34">
        <v>916</v>
      </c>
      <c r="G24" s="34">
        <v>432</v>
      </c>
      <c r="H24" s="34">
        <v>1404</v>
      </c>
      <c r="I24" s="34">
        <v>955</v>
      </c>
      <c r="J24" s="35">
        <v>955</v>
      </c>
      <c r="K24" s="34"/>
      <c r="L24" s="34"/>
    </row>
    <row r="25" spans="1:12" x14ac:dyDescent="0.25">
      <c r="A25" s="6" t="s">
        <v>1772</v>
      </c>
      <c r="B25" s="6" t="s">
        <v>1123</v>
      </c>
      <c r="C25" s="34">
        <v>275</v>
      </c>
      <c r="D25" s="34">
        <v>242</v>
      </c>
      <c r="E25" s="34">
        <v>585</v>
      </c>
      <c r="F25" s="34">
        <v>150</v>
      </c>
      <c r="G25" s="34">
        <v>20</v>
      </c>
      <c r="H25" s="34">
        <v>154</v>
      </c>
      <c r="I25" s="34">
        <v>508</v>
      </c>
      <c r="J25" s="35">
        <v>508</v>
      </c>
      <c r="K25" s="34"/>
      <c r="L25" s="34"/>
    </row>
    <row r="26" spans="1:12" x14ac:dyDescent="0.25">
      <c r="A26" s="6" t="s">
        <v>1771</v>
      </c>
      <c r="B26" s="6" t="s">
        <v>1770</v>
      </c>
      <c r="C26" s="34" t="s">
        <v>1702</v>
      </c>
      <c r="D26" s="34" t="s">
        <v>1702</v>
      </c>
      <c r="E26" s="34" t="s">
        <v>1702</v>
      </c>
      <c r="F26" s="34">
        <v>216</v>
      </c>
      <c r="G26" s="34" t="s">
        <v>1702</v>
      </c>
      <c r="H26" s="34">
        <v>456</v>
      </c>
      <c r="I26" s="34" t="s">
        <v>1702</v>
      </c>
      <c r="J26" s="35"/>
      <c r="K26" s="34"/>
      <c r="L26" s="34"/>
    </row>
    <row r="27" spans="1:12" x14ac:dyDescent="0.25">
      <c r="A27" s="6" t="s">
        <v>1769</v>
      </c>
      <c r="B27" s="6" t="s">
        <v>1768</v>
      </c>
      <c r="C27" s="34" t="s">
        <v>1702</v>
      </c>
      <c r="D27" s="34" t="s">
        <v>1702</v>
      </c>
      <c r="E27" s="34" t="s">
        <v>1702</v>
      </c>
      <c r="F27" s="34" t="s">
        <v>1702</v>
      </c>
      <c r="G27" s="34" t="s">
        <v>1702</v>
      </c>
      <c r="H27" s="34">
        <v>521</v>
      </c>
      <c r="I27" s="34">
        <v>170</v>
      </c>
      <c r="J27" s="35">
        <v>170</v>
      </c>
      <c r="K27" s="34"/>
      <c r="L27" s="34"/>
    </row>
    <row r="28" spans="1:12" x14ac:dyDescent="0.25">
      <c r="A28" s="6" t="s">
        <v>1767</v>
      </c>
      <c r="B28" s="6" t="s">
        <v>1766</v>
      </c>
      <c r="C28" s="34">
        <v>168</v>
      </c>
      <c r="D28" s="34">
        <v>23</v>
      </c>
      <c r="E28" s="34">
        <v>101</v>
      </c>
      <c r="F28" s="34">
        <v>61</v>
      </c>
      <c r="G28" s="34">
        <v>110</v>
      </c>
      <c r="H28" s="34">
        <v>36</v>
      </c>
      <c r="I28" s="34">
        <v>17</v>
      </c>
      <c r="J28" s="35">
        <v>17</v>
      </c>
      <c r="K28" s="34"/>
      <c r="L28" s="34"/>
    </row>
    <row r="29" spans="1:12" x14ac:dyDescent="0.25">
      <c r="A29" s="6" t="s">
        <v>1765</v>
      </c>
      <c r="B29" s="6" t="s">
        <v>1764</v>
      </c>
      <c r="C29" s="34">
        <v>226</v>
      </c>
      <c r="D29" s="34">
        <v>458</v>
      </c>
      <c r="E29" s="34">
        <v>386</v>
      </c>
      <c r="F29" s="34">
        <v>349</v>
      </c>
      <c r="G29" s="34">
        <v>206</v>
      </c>
      <c r="H29" s="34">
        <v>139</v>
      </c>
      <c r="I29" s="34">
        <v>164</v>
      </c>
      <c r="J29" s="35">
        <v>164</v>
      </c>
      <c r="K29" s="34"/>
      <c r="L29" s="34"/>
    </row>
    <row r="30" spans="1:12" x14ac:dyDescent="0.25">
      <c r="A30" s="6" t="s">
        <v>1763</v>
      </c>
      <c r="B30" s="6" t="s">
        <v>1762</v>
      </c>
      <c r="C30" s="34">
        <v>62</v>
      </c>
      <c r="D30" s="34">
        <v>81</v>
      </c>
      <c r="E30" s="34">
        <v>107</v>
      </c>
      <c r="F30" s="34">
        <v>140</v>
      </c>
      <c r="G30" s="34">
        <v>96</v>
      </c>
      <c r="H30" s="34">
        <v>98</v>
      </c>
      <c r="I30" s="34">
        <v>96</v>
      </c>
      <c r="J30" s="35">
        <v>96</v>
      </c>
      <c r="K30" s="34"/>
      <c r="L30" s="34"/>
    </row>
    <row r="31" spans="1:12" x14ac:dyDescent="0.25">
      <c r="A31" s="24" t="s">
        <v>1761</v>
      </c>
      <c r="B31" s="24" t="s">
        <v>235</v>
      </c>
      <c r="C31" s="22">
        <v>2562</v>
      </c>
      <c r="D31" s="22">
        <v>1954</v>
      </c>
      <c r="E31" s="22">
        <v>2281</v>
      </c>
      <c r="F31" s="22">
        <v>2683</v>
      </c>
      <c r="G31" s="22">
        <v>3673</v>
      </c>
      <c r="H31" s="22">
        <v>3492</v>
      </c>
      <c r="I31" s="22">
        <v>4514</v>
      </c>
      <c r="J31" s="23">
        <v>4514</v>
      </c>
      <c r="K31" s="22">
        <v>6872.7389999999996</v>
      </c>
      <c r="L31" s="22">
        <v>7680.2610000000004</v>
      </c>
    </row>
    <row r="32" spans="1:12" x14ac:dyDescent="0.25">
      <c r="A32" s="6" t="s">
        <v>1760</v>
      </c>
      <c r="B32" s="6" t="s">
        <v>238</v>
      </c>
      <c r="C32" s="34">
        <v>479</v>
      </c>
      <c r="D32" s="34">
        <v>355</v>
      </c>
      <c r="E32" s="34">
        <v>287</v>
      </c>
      <c r="F32" s="34">
        <v>325</v>
      </c>
      <c r="G32" s="34">
        <v>508</v>
      </c>
      <c r="H32" s="34">
        <v>499</v>
      </c>
      <c r="I32" s="34">
        <v>1268</v>
      </c>
      <c r="J32" s="35">
        <v>1268</v>
      </c>
      <c r="K32" s="34"/>
      <c r="L32" s="34"/>
    </row>
    <row r="33" spans="1:12" x14ac:dyDescent="0.25">
      <c r="A33" s="6" t="s">
        <v>1759</v>
      </c>
      <c r="B33" s="6" t="s">
        <v>1758</v>
      </c>
      <c r="C33" s="34">
        <v>353</v>
      </c>
      <c r="D33" s="34">
        <v>307</v>
      </c>
      <c r="E33" s="34">
        <v>524</v>
      </c>
      <c r="F33" s="34">
        <v>267</v>
      </c>
      <c r="G33" s="34">
        <v>714</v>
      </c>
      <c r="H33" s="34">
        <v>869</v>
      </c>
      <c r="I33" s="34">
        <v>876</v>
      </c>
      <c r="J33" s="35"/>
      <c r="K33" s="34"/>
      <c r="L33" s="34"/>
    </row>
    <row r="34" spans="1:12" x14ac:dyDescent="0.25">
      <c r="A34" s="6" t="s">
        <v>1757</v>
      </c>
      <c r="B34" s="6" t="s">
        <v>1756</v>
      </c>
      <c r="C34" s="34">
        <v>126</v>
      </c>
      <c r="D34" s="34">
        <v>48</v>
      </c>
      <c r="E34" s="34">
        <v>-237</v>
      </c>
      <c r="F34" s="34">
        <v>58</v>
      </c>
      <c r="G34" s="34">
        <v>-206</v>
      </c>
      <c r="H34" s="34">
        <v>-370</v>
      </c>
      <c r="I34" s="34">
        <v>392</v>
      </c>
      <c r="J34" s="35"/>
      <c r="K34" s="34"/>
      <c r="L34" s="34"/>
    </row>
    <row r="35" spans="1:12" x14ac:dyDescent="0.25">
      <c r="A35" s="24" t="s">
        <v>1755</v>
      </c>
      <c r="B35" s="24" t="s">
        <v>1321</v>
      </c>
      <c r="C35" s="22">
        <v>2083</v>
      </c>
      <c r="D35" s="22">
        <v>1599</v>
      </c>
      <c r="E35" s="22">
        <v>1994</v>
      </c>
      <c r="F35" s="22">
        <v>2358</v>
      </c>
      <c r="G35" s="22">
        <v>3165</v>
      </c>
      <c r="H35" s="22">
        <v>2993</v>
      </c>
      <c r="I35" s="22">
        <v>3246</v>
      </c>
      <c r="J35" s="23">
        <v>3246</v>
      </c>
      <c r="K35" s="22">
        <v>4807.25</v>
      </c>
      <c r="L35" s="22">
        <v>5481.5630000000001</v>
      </c>
    </row>
    <row r="36" spans="1:12" x14ac:dyDescent="0.25">
      <c r="A36" s="6" t="s">
        <v>1754</v>
      </c>
      <c r="B36" s="6" t="s">
        <v>1736</v>
      </c>
      <c r="C36" s="34">
        <v>0</v>
      </c>
      <c r="D36" s="34">
        <v>0</v>
      </c>
      <c r="E36" s="34">
        <v>0</v>
      </c>
      <c r="F36" s="34">
        <v>0</v>
      </c>
      <c r="G36" s="34">
        <v>0</v>
      </c>
      <c r="H36" s="34">
        <v>0</v>
      </c>
      <c r="I36" s="34">
        <v>0</v>
      </c>
      <c r="J36" s="35">
        <v>0</v>
      </c>
      <c r="K36" s="34"/>
      <c r="L36" s="34"/>
    </row>
    <row r="37" spans="1:12" x14ac:dyDescent="0.25">
      <c r="A37" s="6" t="s">
        <v>1753</v>
      </c>
      <c r="B37" s="6" t="s">
        <v>1752</v>
      </c>
      <c r="C37" s="34">
        <v>0</v>
      </c>
      <c r="D37" s="34">
        <v>0</v>
      </c>
      <c r="E37" s="34">
        <v>0</v>
      </c>
      <c r="F37" s="34">
        <v>0</v>
      </c>
      <c r="G37" s="34">
        <v>0</v>
      </c>
      <c r="H37" s="34">
        <v>0</v>
      </c>
      <c r="I37" s="34">
        <v>0</v>
      </c>
      <c r="J37" s="35">
        <v>0</v>
      </c>
      <c r="K37" s="34"/>
      <c r="L37" s="34"/>
    </row>
    <row r="38" spans="1:12" x14ac:dyDescent="0.25">
      <c r="A38" s="6" t="s">
        <v>1751</v>
      </c>
      <c r="B38" s="6" t="s">
        <v>1750</v>
      </c>
      <c r="C38" s="34">
        <v>0</v>
      </c>
      <c r="D38" s="34">
        <v>0</v>
      </c>
      <c r="E38" s="34">
        <v>0</v>
      </c>
      <c r="F38" s="34">
        <v>0</v>
      </c>
      <c r="G38" s="34">
        <v>0</v>
      </c>
      <c r="H38" s="34">
        <v>0</v>
      </c>
      <c r="I38" s="34">
        <v>0</v>
      </c>
      <c r="J38" s="35">
        <v>0</v>
      </c>
      <c r="K38" s="34"/>
      <c r="L38" s="34"/>
    </row>
    <row r="39" spans="1:12" x14ac:dyDescent="0.25">
      <c r="A39" s="24" t="s">
        <v>1749</v>
      </c>
      <c r="B39" s="24" t="s">
        <v>1748</v>
      </c>
      <c r="C39" s="22">
        <v>2083</v>
      </c>
      <c r="D39" s="22">
        <v>1599</v>
      </c>
      <c r="E39" s="22">
        <v>1994</v>
      </c>
      <c r="F39" s="22">
        <v>2358</v>
      </c>
      <c r="G39" s="22">
        <v>3165</v>
      </c>
      <c r="H39" s="22">
        <v>2993</v>
      </c>
      <c r="I39" s="22">
        <v>3246</v>
      </c>
      <c r="J39" s="23">
        <v>3246</v>
      </c>
      <c r="K39" s="22"/>
      <c r="L39" s="22"/>
    </row>
    <row r="40" spans="1:12" x14ac:dyDescent="0.25">
      <c r="A40" s="6" t="s">
        <v>1747</v>
      </c>
      <c r="B40" s="6" t="s">
        <v>1452</v>
      </c>
      <c r="C40" s="34">
        <v>0</v>
      </c>
      <c r="D40" s="34">
        <v>0</v>
      </c>
      <c r="E40" s="34">
        <v>0</v>
      </c>
      <c r="F40" s="34">
        <v>0</v>
      </c>
      <c r="G40" s="34">
        <v>0</v>
      </c>
      <c r="H40" s="34">
        <v>0</v>
      </c>
      <c r="I40" s="34">
        <v>0</v>
      </c>
      <c r="J40" s="35">
        <v>0</v>
      </c>
      <c r="K40" s="34"/>
      <c r="L40" s="34"/>
    </row>
    <row r="41" spans="1:12" x14ac:dyDescent="0.25">
      <c r="A41" s="24" t="s">
        <v>1746</v>
      </c>
      <c r="B41" s="24" t="s">
        <v>1745</v>
      </c>
      <c r="C41" s="22">
        <v>2083</v>
      </c>
      <c r="D41" s="22">
        <v>1599</v>
      </c>
      <c r="E41" s="22">
        <v>1994</v>
      </c>
      <c r="F41" s="22">
        <v>2358</v>
      </c>
      <c r="G41" s="22">
        <v>3165</v>
      </c>
      <c r="H41" s="22">
        <v>2993</v>
      </c>
      <c r="I41" s="22">
        <v>3246</v>
      </c>
      <c r="J41" s="23">
        <v>3246</v>
      </c>
      <c r="K41" s="22">
        <v>4807.25</v>
      </c>
      <c r="L41" s="22">
        <v>5481.5630000000001</v>
      </c>
    </row>
    <row r="42" spans="1:12" x14ac:dyDescent="0.25">
      <c r="A42" s="6" t="s">
        <v>1744</v>
      </c>
      <c r="B42" s="6" t="s">
        <v>1318</v>
      </c>
      <c r="C42" s="34">
        <v>0</v>
      </c>
      <c r="D42" s="34">
        <v>0</v>
      </c>
      <c r="E42" s="34">
        <v>0</v>
      </c>
      <c r="F42" s="34">
        <v>0</v>
      </c>
      <c r="G42" s="34">
        <v>0</v>
      </c>
      <c r="H42" s="34">
        <v>0</v>
      </c>
      <c r="I42" s="34">
        <v>0</v>
      </c>
      <c r="J42" s="35">
        <v>0</v>
      </c>
      <c r="K42" s="34"/>
      <c r="L42" s="34"/>
    </row>
    <row r="43" spans="1:12" x14ac:dyDescent="0.25">
      <c r="A43" s="6" t="s">
        <v>1743</v>
      </c>
      <c r="B43" s="6" t="s">
        <v>1742</v>
      </c>
      <c r="C43" s="34">
        <v>0</v>
      </c>
      <c r="D43" s="34">
        <v>0</v>
      </c>
      <c r="E43" s="34">
        <v>0</v>
      </c>
      <c r="F43" s="34">
        <v>0</v>
      </c>
      <c r="G43" s="34">
        <v>0</v>
      </c>
      <c r="H43" s="34">
        <v>0</v>
      </c>
      <c r="I43" s="34">
        <v>0</v>
      </c>
      <c r="J43" s="35">
        <v>0</v>
      </c>
      <c r="K43" s="34"/>
      <c r="L43" s="34"/>
    </row>
    <row r="44" spans="1:12" x14ac:dyDescent="0.25">
      <c r="A44" s="24" t="s">
        <v>1741</v>
      </c>
      <c r="B44" s="24" t="s">
        <v>1661</v>
      </c>
      <c r="C44" s="22">
        <v>2083</v>
      </c>
      <c r="D44" s="22">
        <v>1599</v>
      </c>
      <c r="E44" s="22">
        <v>1994</v>
      </c>
      <c r="F44" s="22">
        <v>2358</v>
      </c>
      <c r="G44" s="22">
        <v>3165</v>
      </c>
      <c r="H44" s="22">
        <v>2993</v>
      </c>
      <c r="I44" s="22">
        <v>3246</v>
      </c>
      <c r="J44" s="23">
        <v>3246</v>
      </c>
      <c r="K44" s="22">
        <v>4807.25</v>
      </c>
      <c r="L44" s="22">
        <v>5481.5630000000001</v>
      </c>
    </row>
    <row r="45" spans="1:12" x14ac:dyDescent="0.25">
      <c r="A45" s="24"/>
      <c r="B45" s="25"/>
      <c r="C45" s="25"/>
      <c r="D45" s="25"/>
      <c r="E45" s="25"/>
      <c r="F45" s="25"/>
      <c r="G45" s="25"/>
      <c r="H45" s="25"/>
      <c r="I45" s="25"/>
      <c r="J45" s="26"/>
      <c r="K45" s="25"/>
      <c r="L45" s="25"/>
    </row>
    <row r="46" spans="1:12" x14ac:dyDescent="0.25">
      <c r="A46" s="24" t="s">
        <v>1740</v>
      </c>
      <c r="B46" s="24" t="s">
        <v>1661</v>
      </c>
      <c r="C46" s="22">
        <v>2764</v>
      </c>
      <c r="D46" s="22">
        <v>2446</v>
      </c>
      <c r="E46" s="22">
        <v>2985</v>
      </c>
      <c r="F46" s="22">
        <v>3076</v>
      </c>
      <c r="G46" s="22">
        <v>3563</v>
      </c>
      <c r="H46" s="22">
        <v>4205</v>
      </c>
      <c r="I46" s="22">
        <v>4686</v>
      </c>
      <c r="J46" s="23">
        <v>4686</v>
      </c>
      <c r="K46" s="22">
        <v>5814.8329999999996</v>
      </c>
      <c r="L46" s="22">
        <v>6484.64</v>
      </c>
    </row>
    <row r="47" spans="1:12" x14ac:dyDescent="0.25">
      <c r="A47" s="6" t="s">
        <v>1739</v>
      </c>
      <c r="B47" s="6" t="s">
        <v>1738</v>
      </c>
      <c r="C47" s="34">
        <v>681</v>
      </c>
      <c r="D47" s="34">
        <v>847</v>
      </c>
      <c r="E47" s="34">
        <v>991</v>
      </c>
      <c r="F47" s="34">
        <v>718</v>
      </c>
      <c r="G47" s="34">
        <v>398</v>
      </c>
      <c r="H47" s="34">
        <v>1212</v>
      </c>
      <c r="I47" s="34">
        <v>1440</v>
      </c>
      <c r="J47" s="35">
        <v>1440</v>
      </c>
      <c r="K47" s="34"/>
      <c r="L47" s="34"/>
    </row>
    <row r="48" spans="1:12" x14ac:dyDescent="0.25">
      <c r="A48" s="6" t="s">
        <v>1737</v>
      </c>
      <c r="B48" s="6" t="s">
        <v>1736</v>
      </c>
      <c r="C48" s="34">
        <v>0</v>
      </c>
      <c r="D48" s="34">
        <v>0</v>
      </c>
      <c r="E48" s="34">
        <v>0</v>
      </c>
      <c r="F48" s="34">
        <v>0</v>
      </c>
      <c r="G48" s="34">
        <v>0</v>
      </c>
      <c r="H48" s="34">
        <v>0</v>
      </c>
      <c r="I48" s="34">
        <v>0</v>
      </c>
      <c r="J48" s="35">
        <v>0</v>
      </c>
      <c r="K48" s="34"/>
      <c r="L48" s="34"/>
    </row>
    <row r="49" spans="1:12" x14ac:dyDescent="0.25">
      <c r="A49" s="24"/>
      <c r="B49" s="25"/>
      <c r="C49" s="25"/>
      <c r="D49" s="25"/>
      <c r="E49" s="25"/>
      <c r="F49" s="25"/>
      <c r="G49" s="25"/>
      <c r="H49" s="25"/>
      <c r="I49" s="25"/>
      <c r="J49" s="26"/>
      <c r="K49" s="25"/>
      <c r="L49" s="25"/>
    </row>
    <row r="50" spans="1:12" x14ac:dyDescent="0.25">
      <c r="A50" s="6" t="s">
        <v>1735</v>
      </c>
      <c r="B50" s="6" t="s">
        <v>196</v>
      </c>
      <c r="C50" s="34">
        <v>374</v>
      </c>
      <c r="D50" s="34">
        <v>375.5</v>
      </c>
      <c r="E50" s="34">
        <v>377</v>
      </c>
      <c r="F50" s="34">
        <v>378.2</v>
      </c>
      <c r="G50" s="34">
        <v>379.6</v>
      </c>
      <c r="H50" s="34">
        <v>381</v>
      </c>
      <c r="I50" s="34">
        <v>382.2</v>
      </c>
      <c r="J50" s="35">
        <v>382.5</v>
      </c>
      <c r="K50" s="34"/>
      <c r="L50" s="34"/>
    </row>
    <row r="51" spans="1:12" x14ac:dyDescent="0.25">
      <c r="A51" s="24" t="s">
        <v>1734</v>
      </c>
      <c r="B51" s="24" t="s">
        <v>1733</v>
      </c>
      <c r="C51" s="30">
        <v>5.57</v>
      </c>
      <c r="D51" s="30">
        <v>4.26</v>
      </c>
      <c r="E51" s="30">
        <v>5.29</v>
      </c>
      <c r="F51" s="30">
        <v>6.23</v>
      </c>
      <c r="G51" s="30">
        <v>8.34</v>
      </c>
      <c r="H51" s="30">
        <v>7.86</v>
      </c>
      <c r="I51" s="30">
        <v>8.49</v>
      </c>
      <c r="J51" s="31">
        <v>8.49</v>
      </c>
      <c r="K51" s="30">
        <v>12.845000000000001</v>
      </c>
      <c r="L51" s="30">
        <v>14.536</v>
      </c>
    </row>
    <row r="52" spans="1:12" x14ac:dyDescent="0.25">
      <c r="A52" s="24" t="s">
        <v>1732</v>
      </c>
      <c r="B52" s="24" t="s">
        <v>1731</v>
      </c>
      <c r="C52" s="30">
        <v>5.57</v>
      </c>
      <c r="D52" s="30">
        <v>4.26</v>
      </c>
      <c r="E52" s="30">
        <v>5.29</v>
      </c>
      <c r="F52" s="30">
        <v>6.23</v>
      </c>
      <c r="G52" s="30">
        <v>8.34</v>
      </c>
      <c r="H52" s="30">
        <v>7.86</v>
      </c>
      <c r="I52" s="30">
        <v>8.49</v>
      </c>
      <c r="J52" s="31">
        <v>8.49</v>
      </c>
      <c r="K52" s="30">
        <v>12.845000000000001</v>
      </c>
      <c r="L52" s="30">
        <v>14.536</v>
      </c>
    </row>
    <row r="53" spans="1:12" x14ac:dyDescent="0.25">
      <c r="A53" s="24" t="s">
        <v>1730</v>
      </c>
      <c r="B53" s="24" t="s">
        <v>1729</v>
      </c>
      <c r="C53" s="30">
        <v>7.3903999999999996</v>
      </c>
      <c r="D53" s="30">
        <v>6.5140000000000002</v>
      </c>
      <c r="E53" s="30">
        <v>7.9177999999999997</v>
      </c>
      <c r="F53" s="30">
        <v>8.1333000000000002</v>
      </c>
      <c r="G53" s="30">
        <v>9.3862000000000005</v>
      </c>
      <c r="H53" s="30">
        <v>11.0367</v>
      </c>
      <c r="I53" s="30">
        <v>12.2606</v>
      </c>
      <c r="J53" s="31">
        <v>12.259183999999999</v>
      </c>
      <c r="K53" s="30">
        <v>15.013</v>
      </c>
      <c r="L53" s="30">
        <v>16.745999999999999</v>
      </c>
    </row>
    <row r="54" spans="1:12" x14ac:dyDescent="0.25">
      <c r="A54" s="24"/>
      <c r="B54" s="25"/>
      <c r="C54" s="25"/>
      <c r="D54" s="25"/>
      <c r="E54" s="25"/>
      <c r="F54" s="25"/>
      <c r="G54" s="25"/>
      <c r="H54" s="25"/>
      <c r="I54" s="25"/>
      <c r="J54" s="26"/>
      <c r="K54" s="25"/>
      <c r="L54" s="25"/>
    </row>
    <row r="55" spans="1:12" x14ac:dyDescent="0.25">
      <c r="A55" s="6" t="s">
        <v>1728</v>
      </c>
      <c r="B55" s="6" t="s">
        <v>606</v>
      </c>
      <c r="C55" s="34">
        <v>379.9</v>
      </c>
      <c r="D55" s="34">
        <v>380.3</v>
      </c>
      <c r="E55" s="34">
        <v>382.3</v>
      </c>
      <c r="F55" s="34">
        <v>382.2</v>
      </c>
      <c r="G55" s="34">
        <v>383.7</v>
      </c>
      <c r="H55" s="34">
        <v>385.6</v>
      </c>
      <c r="I55" s="34">
        <v>386.5</v>
      </c>
      <c r="J55" s="35">
        <v>386.5</v>
      </c>
      <c r="K55" s="34"/>
      <c r="L55" s="34"/>
    </row>
    <row r="56" spans="1:12" x14ac:dyDescent="0.25">
      <c r="A56" s="24" t="s">
        <v>1727</v>
      </c>
      <c r="B56" s="24" t="s">
        <v>1726</v>
      </c>
      <c r="C56" s="30">
        <v>5.48</v>
      </c>
      <c r="D56" s="30">
        <v>4.2</v>
      </c>
      <c r="E56" s="30">
        <v>5.21</v>
      </c>
      <c r="F56" s="30">
        <v>6.17</v>
      </c>
      <c r="G56" s="30">
        <v>8.25</v>
      </c>
      <c r="H56" s="30">
        <v>7.76</v>
      </c>
      <c r="I56" s="30">
        <v>8.4</v>
      </c>
      <c r="J56" s="31">
        <v>8.4</v>
      </c>
      <c r="K56" s="30">
        <v>12.845000000000001</v>
      </c>
      <c r="L56" s="30">
        <v>14.536</v>
      </c>
    </row>
    <row r="57" spans="1:12" x14ac:dyDescent="0.25">
      <c r="A57" s="24" t="s">
        <v>1725</v>
      </c>
      <c r="B57" s="24" t="s">
        <v>1724</v>
      </c>
      <c r="C57" s="30">
        <v>5.48</v>
      </c>
      <c r="D57" s="30">
        <v>4.2</v>
      </c>
      <c r="E57" s="30">
        <v>5.21</v>
      </c>
      <c r="F57" s="30">
        <v>6.17</v>
      </c>
      <c r="G57" s="30">
        <v>8.25</v>
      </c>
      <c r="H57" s="30">
        <v>7.76</v>
      </c>
      <c r="I57" s="30">
        <v>8.4</v>
      </c>
      <c r="J57" s="31">
        <v>8.4</v>
      </c>
      <c r="K57" s="30">
        <v>12.845000000000001</v>
      </c>
      <c r="L57" s="30">
        <v>14.536</v>
      </c>
    </row>
    <row r="58" spans="1:12" x14ac:dyDescent="0.25">
      <c r="A58" s="24" t="s">
        <v>1723</v>
      </c>
      <c r="B58" s="24" t="s">
        <v>1659</v>
      </c>
      <c r="C58" s="30">
        <v>7.2725999999999997</v>
      </c>
      <c r="D58" s="30">
        <v>6.4272</v>
      </c>
      <c r="E58" s="30">
        <v>7.8022</v>
      </c>
      <c r="F58" s="30">
        <v>8.0486000000000004</v>
      </c>
      <c r="G58" s="30">
        <v>9.2873000000000001</v>
      </c>
      <c r="H58" s="30">
        <v>10.9032</v>
      </c>
      <c r="I58" s="30">
        <v>12.1257</v>
      </c>
      <c r="J58" s="31">
        <v>12.125771</v>
      </c>
      <c r="K58" s="30">
        <v>15.013</v>
      </c>
      <c r="L58" s="30">
        <v>16.745999999999999</v>
      </c>
    </row>
    <row r="59" spans="1:12" x14ac:dyDescent="0.25">
      <c r="A59" s="24"/>
      <c r="B59" s="25"/>
      <c r="C59" s="25"/>
      <c r="D59" s="25"/>
      <c r="E59" s="25"/>
      <c r="F59" s="25"/>
      <c r="G59" s="25"/>
      <c r="H59" s="25"/>
      <c r="I59" s="25"/>
      <c r="J59" s="26"/>
      <c r="K59" s="25"/>
      <c r="L59" s="25"/>
    </row>
    <row r="60" spans="1:12" x14ac:dyDescent="0.25">
      <c r="A60" s="24" t="s">
        <v>1722</v>
      </c>
      <c r="B60" s="25"/>
      <c r="C60" s="25"/>
      <c r="D60" s="25"/>
      <c r="E60" s="25"/>
      <c r="F60" s="25"/>
      <c r="G60" s="25"/>
      <c r="H60" s="25"/>
      <c r="I60" s="25"/>
      <c r="J60" s="26"/>
      <c r="K60" s="25"/>
      <c r="L60" s="25"/>
    </row>
    <row r="61" spans="1:12" x14ac:dyDescent="0.25">
      <c r="A61" s="6" t="s">
        <v>1721</v>
      </c>
      <c r="B61" s="6" t="s">
        <v>1720</v>
      </c>
      <c r="C61" s="41" t="s">
        <v>1719</v>
      </c>
      <c r="D61" s="41" t="s">
        <v>1719</v>
      </c>
      <c r="E61" s="41" t="s">
        <v>1719</v>
      </c>
      <c r="F61" s="41" t="s">
        <v>1719</v>
      </c>
      <c r="G61" s="41" t="s">
        <v>1719</v>
      </c>
      <c r="H61" s="41" t="s">
        <v>1719</v>
      </c>
      <c r="I61" s="41" t="s">
        <v>1719</v>
      </c>
      <c r="J61" s="42"/>
      <c r="K61" s="41"/>
      <c r="L61" s="41"/>
    </row>
    <row r="62" spans="1:12" x14ac:dyDescent="0.25">
      <c r="A62" s="6" t="s">
        <v>1135</v>
      </c>
      <c r="B62" s="6" t="s">
        <v>1135</v>
      </c>
      <c r="C62" s="34">
        <v>4355</v>
      </c>
      <c r="D62" s="34">
        <v>3969</v>
      </c>
      <c r="E62" s="34">
        <v>4886</v>
      </c>
      <c r="F62" s="34">
        <v>4904</v>
      </c>
      <c r="G62" s="34">
        <v>5520</v>
      </c>
      <c r="H62" s="34">
        <v>6332</v>
      </c>
      <c r="I62" s="34">
        <v>7269</v>
      </c>
      <c r="J62" s="35">
        <v>7269</v>
      </c>
      <c r="K62" s="34">
        <v>7838.9166666666697</v>
      </c>
      <c r="L62" s="34">
        <v>8626.3478260869597</v>
      </c>
    </row>
    <row r="63" spans="1:12" x14ac:dyDescent="0.25">
      <c r="A63" s="6" t="s">
        <v>1718</v>
      </c>
      <c r="B63" s="6" t="s">
        <v>1717</v>
      </c>
      <c r="C63" s="8">
        <v>29.259599999999999</v>
      </c>
      <c r="D63" s="8">
        <v>27.656600000000001</v>
      </c>
      <c r="E63" s="8">
        <v>28.559699999999999</v>
      </c>
      <c r="F63" s="8">
        <v>26.581399999999999</v>
      </c>
      <c r="G63" s="8">
        <v>26.929500000000001</v>
      </c>
      <c r="H63" s="8">
        <v>28.023900000000001</v>
      </c>
      <c r="I63" s="8">
        <v>28.941700000000001</v>
      </c>
      <c r="J63" s="40">
        <v>28.941710463449599</v>
      </c>
      <c r="K63" s="8">
        <v>28.695887508879899</v>
      </c>
      <c r="L63" s="8">
        <v>29.140219504897701</v>
      </c>
    </row>
    <row r="64" spans="1:12" x14ac:dyDescent="0.25">
      <c r="A64" s="6" t="s">
        <v>1716</v>
      </c>
      <c r="B64" s="6" t="s">
        <v>1716</v>
      </c>
      <c r="C64" s="34">
        <v>4041</v>
      </c>
      <c r="D64" s="34">
        <v>3629</v>
      </c>
      <c r="E64" s="34">
        <v>4515</v>
      </c>
      <c r="F64" s="34">
        <v>4533</v>
      </c>
      <c r="G64" s="34">
        <v>5127</v>
      </c>
      <c r="H64" s="34">
        <v>5905</v>
      </c>
      <c r="I64" s="34">
        <v>6808</v>
      </c>
      <c r="J64" s="35">
        <v>6808</v>
      </c>
      <c r="K64" s="34"/>
      <c r="L64" s="34"/>
    </row>
    <row r="65" spans="1:12" x14ac:dyDescent="0.25">
      <c r="A65" s="6" t="s">
        <v>1715</v>
      </c>
      <c r="B65" s="6" t="s">
        <v>1715</v>
      </c>
      <c r="C65" s="34">
        <v>3444</v>
      </c>
      <c r="D65" s="34">
        <v>3027</v>
      </c>
      <c r="E65" s="34">
        <v>3763</v>
      </c>
      <c r="F65" s="34">
        <v>3757</v>
      </c>
      <c r="G65" s="34">
        <v>4320</v>
      </c>
      <c r="H65" s="34">
        <v>5092</v>
      </c>
      <c r="I65" s="34">
        <v>5871</v>
      </c>
      <c r="J65" s="35">
        <v>5871</v>
      </c>
      <c r="K65" s="34">
        <v>7296.6923076923104</v>
      </c>
      <c r="L65" s="34">
        <v>8076.7692307692296</v>
      </c>
    </row>
    <row r="66" spans="1:12" x14ac:dyDescent="0.25">
      <c r="A66" s="6" t="s">
        <v>1714</v>
      </c>
      <c r="B66" s="6" t="s">
        <v>1713</v>
      </c>
      <c r="C66" s="8">
        <v>65.889499999999998</v>
      </c>
      <c r="D66" s="8">
        <v>63.828299999999999</v>
      </c>
      <c r="E66" s="8">
        <v>65.858099999999993</v>
      </c>
      <c r="F66" s="8">
        <v>63.141599999999997</v>
      </c>
      <c r="G66" s="8">
        <v>63.903799999999997</v>
      </c>
      <c r="H66" s="8">
        <v>64.461200000000005</v>
      </c>
      <c r="I66" s="8">
        <v>65.261200000000002</v>
      </c>
      <c r="J66" s="40">
        <v>65.261188087275002</v>
      </c>
      <c r="K66" s="8">
        <v>65.290000000000006</v>
      </c>
      <c r="L66" s="8">
        <v>65.533000000000001</v>
      </c>
    </row>
    <row r="67" spans="1:12" x14ac:dyDescent="0.25">
      <c r="A67" s="6" t="s">
        <v>1712</v>
      </c>
      <c r="B67" s="6" t="s">
        <v>1138</v>
      </c>
      <c r="C67" s="8">
        <v>23.1389</v>
      </c>
      <c r="D67" s="8">
        <v>21.092600000000001</v>
      </c>
      <c r="E67" s="8">
        <v>21.9956</v>
      </c>
      <c r="F67" s="8">
        <v>20.3642</v>
      </c>
      <c r="G67" s="8">
        <v>21.075199999999999</v>
      </c>
      <c r="H67" s="8">
        <v>22.536000000000001</v>
      </c>
      <c r="I67" s="8">
        <v>23.375499999999999</v>
      </c>
      <c r="J67" s="40">
        <v>23.3755375059723</v>
      </c>
      <c r="K67" s="8">
        <v>26.710966938282901</v>
      </c>
      <c r="L67" s="8">
        <v>27.283715142300501</v>
      </c>
    </row>
    <row r="68" spans="1:12" x14ac:dyDescent="0.25">
      <c r="A68" s="6" t="s">
        <v>1711</v>
      </c>
      <c r="B68" s="6" t="s">
        <v>244</v>
      </c>
      <c r="C68" s="8">
        <v>18.5703</v>
      </c>
      <c r="D68" s="8">
        <v>17.0441</v>
      </c>
      <c r="E68" s="8">
        <v>17.448</v>
      </c>
      <c r="F68" s="8">
        <v>16.672999999999998</v>
      </c>
      <c r="G68" s="8">
        <v>17.382200000000001</v>
      </c>
      <c r="H68" s="8">
        <v>18.610299999999999</v>
      </c>
      <c r="I68" s="8">
        <v>18.657399999999999</v>
      </c>
      <c r="J68" s="40">
        <v>18.657429526994701</v>
      </c>
      <c r="K68" s="8">
        <v>21.286332493496602</v>
      </c>
      <c r="L68" s="8">
        <v>21.905426608135901</v>
      </c>
    </row>
    <row r="69" spans="1:12" x14ac:dyDescent="0.25">
      <c r="A69" s="6" t="s">
        <v>1710</v>
      </c>
      <c r="B69" s="6" t="s">
        <v>1709</v>
      </c>
      <c r="C69" s="8">
        <v>372100</v>
      </c>
      <c r="D69" s="8">
        <v>333744.18599999999</v>
      </c>
      <c r="E69" s="8">
        <v>371913.04350000003</v>
      </c>
      <c r="F69" s="8">
        <v>361745.098</v>
      </c>
      <c r="G69" s="8">
        <v>394192.3077</v>
      </c>
      <c r="H69" s="8">
        <v>426320.75469999999</v>
      </c>
      <c r="I69" s="8" t="s">
        <v>1702</v>
      </c>
      <c r="J69" s="40"/>
      <c r="K69" s="8"/>
      <c r="L69" s="8"/>
    </row>
    <row r="70" spans="1:12" x14ac:dyDescent="0.25">
      <c r="A70" s="6" t="s">
        <v>1708</v>
      </c>
      <c r="B70" s="6" t="s">
        <v>1707</v>
      </c>
      <c r="C70" s="8">
        <v>2.08</v>
      </c>
      <c r="D70" s="8">
        <v>2.2999999999999998</v>
      </c>
      <c r="E70" s="8">
        <v>2.52</v>
      </c>
      <c r="F70" s="8">
        <v>2.78</v>
      </c>
      <c r="G70" s="8">
        <v>3</v>
      </c>
      <c r="H70" s="8">
        <v>3.2</v>
      </c>
      <c r="I70" s="8">
        <v>3.36</v>
      </c>
      <c r="J70" s="40">
        <v>3.4</v>
      </c>
      <c r="K70" s="8">
        <v>3.5550000000000002</v>
      </c>
      <c r="L70" s="8">
        <v>3.8079999999999998</v>
      </c>
    </row>
    <row r="71" spans="1:12" x14ac:dyDescent="0.25">
      <c r="A71" s="6" t="s">
        <v>1706</v>
      </c>
      <c r="B71" s="6" t="s">
        <v>1705</v>
      </c>
      <c r="C71" s="34">
        <v>778</v>
      </c>
      <c r="D71" s="34">
        <v>863</v>
      </c>
      <c r="E71" s="34">
        <v>950</v>
      </c>
      <c r="F71" s="34">
        <v>1051</v>
      </c>
      <c r="G71" s="34">
        <v>1139</v>
      </c>
      <c r="H71" s="34">
        <v>1219</v>
      </c>
      <c r="I71" s="34">
        <v>1284</v>
      </c>
      <c r="J71" s="35">
        <v>1285.2159999999999</v>
      </c>
      <c r="K71" s="34"/>
      <c r="L71" s="34"/>
    </row>
    <row r="72" spans="1:12" x14ac:dyDescent="0.25">
      <c r="A72" s="6" t="s">
        <v>1704</v>
      </c>
      <c r="B72" s="6" t="s">
        <v>1703</v>
      </c>
      <c r="C72" s="34">
        <v>0</v>
      </c>
      <c r="D72" s="34" t="s">
        <v>1702</v>
      </c>
      <c r="E72" s="34" t="s">
        <v>1702</v>
      </c>
      <c r="F72" s="34" t="s">
        <v>1702</v>
      </c>
      <c r="G72" s="34" t="s">
        <v>1702</v>
      </c>
      <c r="H72" s="34" t="s">
        <v>1702</v>
      </c>
      <c r="I72" s="34" t="s">
        <v>1702</v>
      </c>
      <c r="J72" s="35"/>
      <c r="K72" s="34"/>
      <c r="L72" s="34"/>
    </row>
    <row r="73" spans="1:12" x14ac:dyDescent="0.25">
      <c r="A73" s="6" t="s">
        <v>1701</v>
      </c>
      <c r="B73" s="6" t="s">
        <v>624</v>
      </c>
      <c r="C73" s="34">
        <v>314</v>
      </c>
      <c r="D73" s="34">
        <v>340</v>
      </c>
      <c r="E73" s="34">
        <v>371</v>
      </c>
      <c r="F73" s="34">
        <v>371</v>
      </c>
      <c r="G73" s="34">
        <v>393</v>
      </c>
      <c r="H73" s="34">
        <v>427</v>
      </c>
      <c r="I73" s="34">
        <v>461</v>
      </c>
      <c r="J73" s="35">
        <v>461</v>
      </c>
      <c r="K73" s="34"/>
      <c r="L73" s="34"/>
    </row>
    <row r="74" spans="1:12" x14ac:dyDescent="0.25">
      <c r="A74" s="6" t="s">
        <v>1700</v>
      </c>
      <c r="B74" s="6" t="s">
        <v>1699</v>
      </c>
      <c r="C74" s="34">
        <v>133</v>
      </c>
      <c r="D74" s="34">
        <v>130</v>
      </c>
      <c r="E74" s="34">
        <v>133</v>
      </c>
      <c r="F74" s="34">
        <v>149</v>
      </c>
      <c r="G74" s="34">
        <v>172</v>
      </c>
      <c r="H74" s="34">
        <v>190</v>
      </c>
      <c r="I74" s="34">
        <v>205</v>
      </c>
      <c r="J74" s="35">
        <v>205</v>
      </c>
      <c r="K74" s="34"/>
      <c r="L74" s="34"/>
    </row>
    <row r="75" spans="1:12" x14ac:dyDescent="0.25">
      <c r="A75" s="9" t="s">
        <v>492</v>
      </c>
      <c r="B75" s="9"/>
      <c r="C75" s="9" t="s">
        <v>1654</v>
      </c>
      <c r="D75" s="9"/>
      <c r="E75" s="9"/>
      <c r="F75" s="9"/>
      <c r="G75" s="9"/>
      <c r="H75" s="9"/>
      <c r="I75" s="9"/>
      <c r="J75" s="9"/>
      <c r="K75" s="9"/>
      <c r="L75"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4469-9F06-45E8-84A6-6420974A0DD7}">
  <sheetPr codeName="Sheet12">
    <tabColor theme="4" tint="0.59999389629810485"/>
  </sheetPr>
  <dimension ref="A1:L97"/>
  <sheetViews>
    <sheetView workbookViewId="0">
      <selection activeCell="A90" sqref="A90"/>
    </sheetView>
  </sheetViews>
  <sheetFormatPr defaultRowHeight="15" x14ac:dyDescent="0.25"/>
  <cols>
    <col min="1" max="1" width="35.140625" customWidth="1"/>
    <col min="2" max="2" width="0" hidden="1" customWidth="1"/>
    <col min="3" max="12" width="11.85546875" customWidth="1"/>
  </cols>
  <sheetData>
    <row r="1" spans="1:12" x14ac:dyDescent="0.25">
      <c r="A1" s="39"/>
      <c r="B1" s="39"/>
      <c r="C1" s="39"/>
      <c r="D1" s="39"/>
      <c r="E1" s="39"/>
      <c r="F1" s="39"/>
      <c r="G1" s="39"/>
      <c r="H1" s="39"/>
      <c r="I1" s="39"/>
      <c r="J1" s="39"/>
      <c r="K1" s="39"/>
      <c r="L1" s="39"/>
    </row>
    <row r="2" spans="1:12" ht="20.25" x14ac:dyDescent="0.25">
      <c r="A2" s="1" t="s">
        <v>1941</v>
      </c>
      <c r="B2" s="1"/>
      <c r="C2" s="1"/>
      <c r="D2" s="1"/>
      <c r="E2" s="1"/>
      <c r="F2" s="1"/>
      <c r="G2" s="1"/>
      <c r="H2" s="1"/>
      <c r="I2" s="1"/>
      <c r="J2" s="1"/>
      <c r="K2" s="1"/>
      <c r="L2" s="1"/>
    </row>
    <row r="3" spans="1:12" x14ac:dyDescent="0.25">
      <c r="A3" s="38"/>
      <c r="B3" s="38"/>
      <c r="C3" s="38"/>
      <c r="D3" s="38"/>
      <c r="E3" s="38"/>
      <c r="F3" s="38"/>
      <c r="G3" s="38"/>
      <c r="H3" s="38"/>
      <c r="I3" s="38"/>
      <c r="J3" s="38"/>
      <c r="K3" s="38"/>
      <c r="L3" s="38"/>
    </row>
    <row r="4" spans="1:12" x14ac:dyDescent="0.25">
      <c r="A4" s="3" t="s">
        <v>1800</v>
      </c>
      <c r="B4" s="3"/>
      <c r="C4" s="37" t="s">
        <v>1940</v>
      </c>
      <c r="D4" s="37" t="s">
        <v>1939</v>
      </c>
      <c r="E4" s="37" t="s">
        <v>1938</v>
      </c>
      <c r="F4" s="37" t="s">
        <v>1697</v>
      </c>
      <c r="G4" s="37" t="s">
        <v>1696</v>
      </c>
      <c r="H4" s="37" t="s">
        <v>1695</v>
      </c>
      <c r="I4" s="37" t="s">
        <v>1694</v>
      </c>
      <c r="J4" s="37" t="s">
        <v>1693</v>
      </c>
      <c r="K4" s="37" t="s">
        <v>1692</v>
      </c>
      <c r="L4" s="37" t="s">
        <v>1691</v>
      </c>
    </row>
    <row r="5" spans="1:12" x14ac:dyDescent="0.25">
      <c r="A5" s="4" t="s">
        <v>3</v>
      </c>
      <c r="B5" s="4"/>
      <c r="C5" s="36" t="s">
        <v>1937</v>
      </c>
      <c r="D5" s="36" t="s">
        <v>1936</v>
      </c>
      <c r="E5" s="36" t="s">
        <v>1935</v>
      </c>
      <c r="F5" s="36" t="s">
        <v>1687</v>
      </c>
      <c r="G5" s="36" t="s">
        <v>1686</v>
      </c>
      <c r="H5" s="36" t="s">
        <v>1685</v>
      </c>
      <c r="I5" s="36" t="s">
        <v>1684</v>
      </c>
      <c r="J5" s="36" t="s">
        <v>1683</v>
      </c>
      <c r="K5" s="36" t="s">
        <v>1682</v>
      </c>
      <c r="L5" s="36" t="s">
        <v>1681</v>
      </c>
    </row>
    <row r="6" spans="1:12" x14ac:dyDescent="0.25">
      <c r="A6" s="24" t="s">
        <v>1599</v>
      </c>
      <c r="B6" s="25"/>
      <c r="C6" s="25"/>
      <c r="D6" s="25"/>
      <c r="E6" s="25"/>
      <c r="F6" s="25"/>
      <c r="G6" s="25"/>
      <c r="H6" s="25"/>
      <c r="I6" s="25"/>
      <c r="J6" s="25"/>
      <c r="K6" s="25"/>
      <c r="L6" s="25"/>
    </row>
    <row r="7" spans="1:12" x14ac:dyDescent="0.25">
      <c r="A7" s="6" t="s">
        <v>1934</v>
      </c>
      <c r="B7" s="6" t="s">
        <v>1933</v>
      </c>
      <c r="C7" s="34">
        <v>3384</v>
      </c>
      <c r="D7" s="34">
        <v>2793</v>
      </c>
      <c r="E7" s="34">
        <v>3699</v>
      </c>
      <c r="F7" s="34">
        <v>4425</v>
      </c>
      <c r="G7" s="34">
        <v>3024</v>
      </c>
      <c r="H7" s="34">
        <v>3019</v>
      </c>
      <c r="I7" s="34">
        <v>1928</v>
      </c>
      <c r="J7" s="34">
        <v>3053</v>
      </c>
      <c r="K7" s="34">
        <v>4493</v>
      </c>
      <c r="L7" s="34">
        <v>4100</v>
      </c>
    </row>
    <row r="8" spans="1:12" x14ac:dyDescent="0.25">
      <c r="A8" s="6" t="s">
        <v>1932</v>
      </c>
      <c r="B8" s="6" t="s">
        <v>262</v>
      </c>
      <c r="C8" s="34">
        <v>3316</v>
      </c>
      <c r="D8" s="34">
        <v>2542</v>
      </c>
      <c r="E8" s="34">
        <v>3616</v>
      </c>
      <c r="F8" s="34">
        <v>4337</v>
      </c>
      <c r="G8" s="34">
        <v>2943</v>
      </c>
      <c r="H8" s="34">
        <v>2944</v>
      </c>
      <c r="I8" s="34">
        <v>1844</v>
      </c>
      <c r="J8" s="34">
        <v>2971</v>
      </c>
      <c r="K8" s="34">
        <v>3652</v>
      </c>
      <c r="L8" s="34">
        <v>4011</v>
      </c>
    </row>
    <row r="9" spans="1:12" x14ac:dyDescent="0.25">
      <c r="A9" s="6" t="s">
        <v>1931</v>
      </c>
      <c r="B9" s="6" t="s">
        <v>265</v>
      </c>
      <c r="C9" s="34">
        <v>68</v>
      </c>
      <c r="D9" s="34">
        <v>251</v>
      </c>
      <c r="E9" s="34">
        <v>83</v>
      </c>
      <c r="F9" s="34">
        <v>88</v>
      </c>
      <c r="G9" s="34">
        <v>81</v>
      </c>
      <c r="H9" s="34">
        <v>75</v>
      </c>
      <c r="I9" s="34">
        <v>84</v>
      </c>
      <c r="J9" s="34">
        <v>82</v>
      </c>
      <c r="K9" s="34">
        <v>841</v>
      </c>
      <c r="L9" s="34">
        <v>89</v>
      </c>
    </row>
    <row r="10" spans="1:12" x14ac:dyDescent="0.25">
      <c r="A10" s="6" t="s">
        <v>1930</v>
      </c>
      <c r="B10" s="6" t="s">
        <v>1929</v>
      </c>
      <c r="C10" s="34">
        <v>1967</v>
      </c>
      <c r="D10" s="34">
        <v>2198</v>
      </c>
      <c r="E10" s="34">
        <v>2332</v>
      </c>
      <c r="F10" s="34">
        <v>2893</v>
      </c>
      <c r="G10" s="34">
        <v>2701</v>
      </c>
      <c r="H10" s="34">
        <v>3022</v>
      </c>
      <c r="I10" s="34">
        <v>3565</v>
      </c>
      <c r="J10" s="34">
        <v>3765</v>
      </c>
      <c r="K10" s="34">
        <v>3987</v>
      </c>
      <c r="L10" s="34">
        <v>4039</v>
      </c>
    </row>
    <row r="11" spans="1:12" x14ac:dyDescent="0.25">
      <c r="A11" s="6" t="s">
        <v>1928</v>
      </c>
      <c r="B11" s="6" t="s">
        <v>268</v>
      </c>
      <c r="C11" s="34">
        <v>1967</v>
      </c>
      <c r="D11" s="34">
        <v>2198</v>
      </c>
      <c r="E11" s="34">
        <v>2332</v>
      </c>
      <c r="F11" s="34">
        <v>2893</v>
      </c>
      <c r="G11" s="34">
        <v>2701</v>
      </c>
      <c r="H11" s="34">
        <v>3022</v>
      </c>
      <c r="I11" s="34">
        <v>3565</v>
      </c>
      <c r="J11" s="34">
        <v>3765</v>
      </c>
      <c r="K11" s="34">
        <v>3987</v>
      </c>
      <c r="L11" s="34">
        <v>4039</v>
      </c>
    </row>
    <row r="12" spans="1:12" x14ac:dyDescent="0.25">
      <c r="A12" s="6" t="s">
        <v>1927</v>
      </c>
      <c r="B12" s="6" t="s">
        <v>1926</v>
      </c>
      <c r="C12" s="34">
        <v>0</v>
      </c>
      <c r="D12" s="34">
        <v>0</v>
      </c>
      <c r="E12" s="34">
        <v>0</v>
      </c>
      <c r="F12" s="34">
        <v>0</v>
      </c>
      <c r="G12" s="34">
        <v>0</v>
      </c>
      <c r="H12" s="34">
        <v>0</v>
      </c>
      <c r="I12" s="34">
        <v>0</v>
      </c>
      <c r="J12" s="34">
        <v>0</v>
      </c>
      <c r="K12" s="34">
        <v>0</v>
      </c>
      <c r="L12" s="34">
        <v>0</v>
      </c>
    </row>
    <row r="13" spans="1:12" x14ac:dyDescent="0.25">
      <c r="A13" s="6" t="s">
        <v>1925</v>
      </c>
      <c r="B13" s="6" t="s">
        <v>271</v>
      </c>
      <c r="C13" s="34">
        <v>2030</v>
      </c>
      <c r="D13" s="34">
        <v>2465</v>
      </c>
      <c r="E13" s="34">
        <v>2955</v>
      </c>
      <c r="F13" s="34">
        <v>2980</v>
      </c>
      <c r="G13" s="34">
        <v>3494</v>
      </c>
      <c r="H13" s="34">
        <v>3314</v>
      </c>
      <c r="I13" s="34">
        <v>3995</v>
      </c>
      <c r="J13" s="34">
        <v>4843</v>
      </c>
      <c r="K13" s="34">
        <v>4774</v>
      </c>
      <c r="L13" s="34">
        <v>5310</v>
      </c>
    </row>
    <row r="14" spans="1:12" x14ac:dyDescent="0.25">
      <c r="A14" s="6" t="s">
        <v>1924</v>
      </c>
      <c r="B14" s="6" t="s">
        <v>1923</v>
      </c>
      <c r="C14" s="34">
        <v>0</v>
      </c>
      <c r="D14" s="34">
        <v>0</v>
      </c>
      <c r="E14" s="34">
        <v>0</v>
      </c>
      <c r="F14" s="34">
        <v>0</v>
      </c>
      <c r="G14" s="34">
        <v>0</v>
      </c>
      <c r="H14" s="34">
        <v>0</v>
      </c>
      <c r="I14" s="34">
        <v>0</v>
      </c>
      <c r="J14" s="34">
        <v>0</v>
      </c>
      <c r="K14" s="34">
        <v>0</v>
      </c>
      <c r="L14" s="34">
        <v>0</v>
      </c>
    </row>
    <row r="15" spans="1:12" x14ac:dyDescent="0.25">
      <c r="A15" s="6" t="s">
        <v>1922</v>
      </c>
      <c r="B15" s="6" t="s">
        <v>1921</v>
      </c>
      <c r="C15" s="34">
        <v>130</v>
      </c>
      <c r="D15" s="34">
        <v>148</v>
      </c>
      <c r="E15" s="34">
        <v>149</v>
      </c>
      <c r="F15" s="34">
        <v>178</v>
      </c>
      <c r="G15" s="34">
        <v>251</v>
      </c>
      <c r="H15" s="34">
        <v>264</v>
      </c>
      <c r="I15" s="34">
        <v>348</v>
      </c>
      <c r="J15" s="34">
        <v>330</v>
      </c>
      <c r="K15" s="34">
        <v>336</v>
      </c>
      <c r="L15" s="34">
        <v>415</v>
      </c>
    </row>
    <row r="16" spans="1:12" x14ac:dyDescent="0.25">
      <c r="A16" s="6" t="s">
        <v>1920</v>
      </c>
      <c r="B16" s="6" t="s">
        <v>1919</v>
      </c>
      <c r="C16" s="34">
        <v>1475</v>
      </c>
      <c r="D16" s="34">
        <v>1789</v>
      </c>
      <c r="E16" s="34">
        <v>2200</v>
      </c>
      <c r="F16" s="34">
        <v>2125</v>
      </c>
      <c r="G16" s="34">
        <v>2565</v>
      </c>
      <c r="H16" s="34">
        <v>2359</v>
      </c>
      <c r="I16" s="34">
        <v>2641</v>
      </c>
      <c r="J16" s="34">
        <v>3271</v>
      </c>
      <c r="K16" s="34">
        <v>3291</v>
      </c>
      <c r="L16" s="34">
        <v>3546</v>
      </c>
    </row>
    <row r="17" spans="1:12" x14ac:dyDescent="0.25">
      <c r="A17" s="6" t="s">
        <v>1918</v>
      </c>
      <c r="B17" s="6" t="s">
        <v>1917</v>
      </c>
      <c r="C17" s="34">
        <v>425</v>
      </c>
      <c r="D17" s="34">
        <v>528</v>
      </c>
      <c r="E17" s="34">
        <v>606</v>
      </c>
      <c r="F17" s="34">
        <v>677</v>
      </c>
      <c r="G17" s="34">
        <v>678</v>
      </c>
      <c r="H17" s="34">
        <v>691</v>
      </c>
      <c r="I17" s="34">
        <v>1006</v>
      </c>
      <c r="J17" s="34">
        <v>1242</v>
      </c>
      <c r="K17" s="34">
        <v>1147</v>
      </c>
      <c r="L17" s="34">
        <v>1349</v>
      </c>
    </row>
    <row r="18" spans="1:12" x14ac:dyDescent="0.25">
      <c r="A18" s="6" t="s">
        <v>1916</v>
      </c>
      <c r="B18" s="6" t="s">
        <v>1438</v>
      </c>
      <c r="C18" s="34">
        <v>480</v>
      </c>
      <c r="D18" s="34">
        <v>537</v>
      </c>
      <c r="E18" s="34">
        <v>747</v>
      </c>
      <c r="F18" s="34">
        <v>760</v>
      </c>
      <c r="G18" s="34">
        <v>488</v>
      </c>
      <c r="H18" s="34">
        <v>662</v>
      </c>
      <c r="I18" s="34">
        <v>787</v>
      </c>
      <c r="J18" s="34">
        <v>857</v>
      </c>
      <c r="K18" s="34">
        <v>1593</v>
      </c>
      <c r="L18" s="34">
        <v>1306</v>
      </c>
    </row>
    <row r="19" spans="1:12" x14ac:dyDescent="0.25">
      <c r="A19" s="6" t="s">
        <v>1898</v>
      </c>
      <c r="B19" s="6" t="s">
        <v>1915</v>
      </c>
      <c r="C19" s="34">
        <v>41</v>
      </c>
      <c r="D19" s="34">
        <v>15</v>
      </c>
      <c r="E19" s="34">
        <v>43</v>
      </c>
      <c r="F19" s="34">
        <v>185</v>
      </c>
      <c r="G19" s="34">
        <v>16</v>
      </c>
      <c r="H19" s="34">
        <v>146</v>
      </c>
      <c r="I19" s="34">
        <v>29</v>
      </c>
      <c r="J19" s="34">
        <v>114</v>
      </c>
      <c r="K19" s="34">
        <v>186</v>
      </c>
      <c r="L19" s="34">
        <v>44</v>
      </c>
    </row>
    <row r="20" spans="1:12" x14ac:dyDescent="0.25">
      <c r="A20" s="6" t="s">
        <v>1899</v>
      </c>
      <c r="B20" s="6" t="s">
        <v>1914</v>
      </c>
      <c r="C20" s="34">
        <v>0</v>
      </c>
      <c r="D20" s="34">
        <v>0</v>
      </c>
      <c r="E20" s="34">
        <v>0</v>
      </c>
      <c r="F20" s="34">
        <v>0</v>
      </c>
      <c r="G20" s="34">
        <v>0</v>
      </c>
      <c r="H20" s="34">
        <v>0</v>
      </c>
      <c r="I20" s="34">
        <v>0</v>
      </c>
      <c r="J20" s="34">
        <v>0</v>
      </c>
      <c r="K20" s="34" t="s">
        <v>1702</v>
      </c>
      <c r="L20" s="34" t="s">
        <v>1702</v>
      </c>
    </row>
    <row r="21" spans="1:12" x14ac:dyDescent="0.25">
      <c r="A21" s="6" t="s">
        <v>1913</v>
      </c>
      <c r="B21" s="6" t="s">
        <v>587</v>
      </c>
      <c r="C21" s="34">
        <v>439</v>
      </c>
      <c r="D21" s="34">
        <v>522</v>
      </c>
      <c r="E21" s="34">
        <v>704</v>
      </c>
      <c r="F21" s="34">
        <v>575</v>
      </c>
      <c r="G21" s="34">
        <v>472</v>
      </c>
      <c r="H21" s="34">
        <v>516</v>
      </c>
      <c r="I21" s="34">
        <v>758</v>
      </c>
      <c r="J21" s="34">
        <v>743</v>
      </c>
      <c r="K21" s="34">
        <v>1407</v>
      </c>
      <c r="L21" s="34">
        <v>1262</v>
      </c>
    </row>
    <row r="22" spans="1:12" x14ac:dyDescent="0.25">
      <c r="A22" s="24" t="s">
        <v>1912</v>
      </c>
      <c r="B22" s="24" t="s">
        <v>256</v>
      </c>
      <c r="C22" s="22">
        <v>7861</v>
      </c>
      <c r="D22" s="22">
        <v>7993</v>
      </c>
      <c r="E22" s="22">
        <v>9733</v>
      </c>
      <c r="F22" s="22">
        <v>11058</v>
      </c>
      <c r="G22" s="22">
        <v>9707</v>
      </c>
      <c r="H22" s="22">
        <v>10017</v>
      </c>
      <c r="I22" s="22">
        <v>10275</v>
      </c>
      <c r="J22" s="22">
        <v>12518</v>
      </c>
      <c r="K22" s="22">
        <v>14847</v>
      </c>
      <c r="L22" s="22">
        <v>14755</v>
      </c>
    </row>
    <row r="23" spans="1:12" x14ac:dyDescent="0.25">
      <c r="A23" s="6" t="s">
        <v>1911</v>
      </c>
      <c r="B23" s="6" t="s">
        <v>1910</v>
      </c>
      <c r="C23" s="34">
        <v>1569</v>
      </c>
      <c r="D23" s="34">
        <v>1975</v>
      </c>
      <c r="E23" s="34">
        <v>2291</v>
      </c>
      <c r="F23" s="34">
        <v>2951</v>
      </c>
      <c r="G23" s="34">
        <v>3175</v>
      </c>
      <c r="H23" s="34">
        <v>3252</v>
      </c>
      <c r="I23" s="34">
        <v>3443</v>
      </c>
      <c r="J23" s="34">
        <v>3709</v>
      </c>
      <c r="K23" s="34">
        <v>3964</v>
      </c>
      <c r="L23" s="34">
        <v>4395</v>
      </c>
    </row>
    <row r="24" spans="1:12" x14ac:dyDescent="0.25">
      <c r="A24" s="6" t="s">
        <v>1909</v>
      </c>
      <c r="B24" s="6" t="s">
        <v>1908</v>
      </c>
      <c r="C24" s="34">
        <v>3161</v>
      </c>
      <c r="D24" s="34">
        <v>3800</v>
      </c>
      <c r="E24" s="34">
        <v>4277</v>
      </c>
      <c r="F24" s="34">
        <v>5098</v>
      </c>
      <c r="G24" s="34">
        <v>5605</v>
      </c>
      <c r="H24" s="34">
        <v>5917</v>
      </c>
      <c r="I24" s="34">
        <v>6278</v>
      </c>
      <c r="J24" s="34">
        <v>6838</v>
      </c>
      <c r="K24" s="34">
        <v>7199</v>
      </c>
      <c r="L24" s="34">
        <v>8056</v>
      </c>
    </row>
    <row r="25" spans="1:12" x14ac:dyDescent="0.25">
      <c r="A25" s="6" t="s">
        <v>1907</v>
      </c>
      <c r="B25" s="6" t="s">
        <v>286</v>
      </c>
      <c r="C25" s="34">
        <v>1592</v>
      </c>
      <c r="D25" s="34">
        <v>1825</v>
      </c>
      <c r="E25" s="34">
        <v>1986</v>
      </c>
      <c r="F25" s="34">
        <v>2147</v>
      </c>
      <c r="G25" s="34">
        <v>2430</v>
      </c>
      <c r="H25" s="34">
        <v>2665</v>
      </c>
      <c r="I25" s="34">
        <v>2835</v>
      </c>
      <c r="J25" s="34">
        <v>3129</v>
      </c>
      <c r="K25" s="34">
        <v>3235</v>
      </c>
      <c r="L25" s="34">
        <v>3661</v>
      </c>
    </row>
    <row r="26" spans="1:12" x14ac:dyDescent="0.25">
      <c r="A26" s="6" t="s">
        <v>1906</v>
      </c>
      <c r="B26" s="6" t="s">
        <v>1109</v>
      </c>
      <c r="C26" s="34">
        <v>0</v>
      </c>
      <c r="D26" s="34">
        <v>0</v>
      </c>
      <c r="E26" s="34">
        <v>0</v>
      </c>
      <c r="F26" s="34">
        <v>0</v>
      </c>
      <c r="G26" s="34">
        <v>0</v>
      </c>
      <c r="H26" s="34">
        <v>0</v>
      </c>
      <c r="I26" s="34">
        <v>0</v>
      </c>
      <c r="J26" s="34">
        <v>0</v>
      </c>
      <c r="K26" s="34">
        <v>0</v>
      </c>
      <c r="L26" s="34">
        <v>0</v>
      </c>
    </row>
    <row r="27" spans="1:12" x14ac:dyDescent="0.25">
      <c r="A27" s="6" t="s">
        <v>1905</v>
      </c>
      <c r="B27" s="6" t="s">
        <v>1904</v>
      </c>
      <c r="C27" s="34">
        <v>11005</v>
      </c>
      <c r="D27" s="34">
        <v>12229</v>
      </c>
      <c r="E27" s="34">
        <v>15205</v>
      </c>
      <c r="F27" s="34">
        <v>16158</v>
      </c>
      <c r="G27" s="34">
        <v>21448</v>
      </c>
      <c r="H27" s="34">
        <v>21362</v>
      </c>
      <c r="I27" s="34">
        <v>23166</v>
      </c>
      <c r="J27" s="34">
        <v>23685</v>
      </c>
      <c r="K27" s="34">
        <v>24160</v>
      </c>
      <c r="L27" s="34">
        <v>28694</v>
      </c>
    </row>
    <row r="28" spans="1:12" x14ac:dyDescent="0.25">
      <c r="A28" s="6" t="s">
        <v>1903</v>
      </c>
      <c r="B28" s="6" t="s">
        <v>292</v>
      </c>
      <c r="C28" s="34">
        <v>9864</v>
      </c>
      <c r="D28" s="34">
        <v>10645</v>
      </c>
      <c r="E28" s="34">
        <v>12726</v>
      </c>
      <c r="F28" s="34">
        <v>13296</v>
      </c>
      <c r="G28" s="34">
        <v>18332</v>
      </c>
      <c r="H28" s="34">
        <v>17758</v>
      </c>
      <c r="I28" s="34">
        <v>19765</v>
      </c>
      <c r="J28" s="34">
        <v>19836</v>
      </c>
      <c r="K28" s="34">
        <v>20250</v>
      </c>
      <c r="L28" s="34">
        <v>24972</v>
      </c>
    </row>
    <row r="29" spans="1:12" x14ac:dyDescent="0.25">
      <c r="A29" s="29" t="s">
        <v>1902</v>
      </c>
      <c r="B29" s="29" t="s">
        <v>295</v>
      </c>
      <c r="C29" s="32">
        <v>6356</v>
      </c>
      <c r="D29" s="32">
        <v>7168</v>
      </c>
      <c r="E29" s="32">
        <v>8563</v>
      </c>
      <c r="F29" s="32">
        <v>9069</v>
      </c>
      <c r="G29" s="32">
        <v>12778</v>
      </c>
      <c r="H29" s="32">
        <v>12918</v>
      </c>
      <c r="I29" s="32">
        <v>14880</v>
      </c>
      <c r="J29" s="32">
        <v>15243</v>
      </c>
      <c r="K29" s="32">
        <v>15855</v>
      </c>
      <c r="L29" s="32">
        <v>19291</v>
      </c>
    </row>
    <row r="30" spans="1:12" x14ac:dyDescent="0.25">
      <c r="A30" s="29" t="s">
        <v>1901</v>
      </c>
      <c r="B30" s="29" t="s">
        <v>1900</v>
      </c>
      <c r="C30" s="32">
        <v>3508</v>
      </c>
      <c r="D30" s="32">
        <v>3477</v>
      </c>
      <c r="E30" s="32">
        <v>4163</v>
      </c>
      <c r="F30" s="32">
        <v>4227</v>
      </c>
      <c r="G30" s="32">
        <v>5554</v>
      </c>
      <c r="H30" s="32">
        <v>4840</v>
      </c>
      <c r="I30" s="32">
        <v>4885</v>
      </c>
      <c r="J30" s="32">
        <v>4593</v>
      </c>
      <c r="K30" s="32">
        <v>4395</v>
      </c>
      <c r="L30" s="32">
        <v>5681</v>
      </c>
    </row>
    <row r="31" spans="1:12" x14ac:dyDescent="0.25">
      <c r="A31" s="6" t="s">
        <v>1899</v>
      </c>
      <c r="B31" s="6" t="s">
        <v>289</v>
      </c>
      <c r="C31" s="34">
        <v>302</v>
      </c>
      <c r="D31" s="34">
        <v>283</v>
      </c>
      <c r="E31" s="34">
        <v>1678</v>
      </c>
      <c r="F31" s="34">
        <v>1575</v>
      </c>
      <c r="G31" s="34">
        <v>1530</v>
      </c>
      <c r="H31" s="34">
        <v>1760</v>
      </c>
      <c r="I31" s="34">
        <v>1410</v>
      </c>
      <c r="J31" s="34">
        <v>1670</v>
      </c>
      <c r="K31" s="34">
        <v>1742</v>
      </c>
      <c r="L31" s="34">
        <v>1098</v>
      </c>
    </row>
    <row r="32" spans="1:12" x14ac:dyDescent="0.25">
      <c r="A32" s="6" t="s">
        <v>1898</v>
      </c>
      <c r="B32" s="6" t="s">
        <v>1897</v>
      </c>
      <c r="C32" s="34">
        <v>4</v>
      </c>
      <c r="D32" s="34">
        <v>1</v>
      </c>
      <c r="E32" s="34">
        <v>34</v>
      </c>
      <c r="F32" s="34">
        <v>1</v>
      </c>
      <c r="G32" s="34">
        <v>4</v>
      </c>
      <c r="H32" s="34">
        <v>66</v>
      </c>
      <c r="I32" s="34">
        <v>90</v>
      </c>
      <c r="J32" s="34">
        <v>2</v>
      </c>
      <c r="K32" s="34">
        <v>39</v>
      </c>
      <c r="L32" s="34">
        <v>2</v>
      </c>
    </row>
    <row r="33" spans="1:12" x14ac:dyDescent="0.25">
      <c r="A33" s="6" t="s">
        <v>1896</v>
      </c>
      <c r="B33" s="6" t="s">
        <v>1895</v>
      </c>
      <c r="C33" s="34">
        <v>0</v>
      </c>
      <c r="D33" s="34">
        <v>0</v>
      </c>
      <c r="E33" s="34">
        <v>0</v>
      </c>
      <c r="F33" s="34">
        <v>0</v>
      </c>
      <c r="G33" s="34">
        <v>0</v>
      </c>
      <c r="H33" s="34">
        <v>0</v>
      </c>
      <c r="I33" s="34" t="s">
        <v>1702</v>
      </c>
      <c r="J33" s="34" t="s">
        <v>1702</v>
      </c>
      <c r="K33" s="34" t="s">
        <v>1702</v>
      </c>
      <c r="L33" s="34" t="s">
        <v>1702</v>
      </c>
    </row>
    <row r="34" spans="1:12" x14ac:dyDescent="0.25">
      <c r="A34" s="6" t="s">
        <v>1894</v>
      </c>
      <c r="B34" s="6" t="s">
        <v>1893</v>
      </c>
      <c r="C34" s="34">
        <v>835</v>
      </c>
      <c r="D34" s="34">
        <v>1300</v>
      </c>
      <c r="E34" s="34">
        <v>767</v>
      </c>
      <c r="F34" s="34">
        <v>1286</v>
      </c>
      <c r="G34" s="34">
        <v>1582</v>
      </c>
      <c r="H34" s="34">
        <v>1778</v>
      </c>
      <c r="I34" s="34">
        <v>1901</v>
      </c>
      <c r="J34" s="34">
        <v>2177</v>
      </c>
      <c r="K34" s="34">
        <v>2129</v>
      </c>
      <c r="L34" s="34">
        <v>2622</v>
      </c>
    </row>
    <row r="35" spans="1:12" x14ac:dyDescent="0.25">
      <c r="A35" s="24" t="s">
        <v>1892</v>
      </c>
      <c r="B35" s="24" t="s">
        <v>1891</v>
      </c>
      <c r="C35" s="22">
        <v>12574</v>
      </c>
      <c r="D35" s="22">
        <v>14204</v>
      </c>
      <c r="E35" s="22">
        <v>17496</v>
      </c>
      <c r="F35" s="22">
        <v>19109</v>
      </c>
      <c r="G35" s="22">
        <v>24623</v>
      </c>
      <c r="H35" s="22">
        <v>24614</v>
      </c>
      <c r="I35" s="22">
        <v>26609</v>
      </c>
      <c r="J35" s="22">
        <v>27394</v>
      </c>
      <c r="K35" s="22">
        <v>28124</v>
      </c>
      <c r="L35" s="22">
        <v>33089</v>
      </c>
    </row>
    <row r="36" spans="1:12" x14ac:dyDescent="0.25">
      <c r="A36" s="24" t="s">
        <v>1599</v>
      </c>
      <c r="B36" s="24" t="s">
        <v>303</v>
      </c>
      <c r="C36" s="22">
        <v>20435</v>
      </c>
      <c r="D36" s="22">
        <v>22197</v>
      </c>
      <c r="E36" s="22">
        <v>27229</v>
      </c>
      <c r="F36" s="22">
        <v>30167</v>
      </c>
      <c r="G36" s="22">
        <v>34330</v>
      </c>
      <c r="H36" s="22">
        <v>34631</v>
      </c>
      <c r="I36" s="22">
        <v>36884</v>
      </c>
      <c r="J36" s="22">
        <v>39912</v>
      </c>
      <c r="K36" s="22">
        <v>42971</v>
      </c>
      <c r="L36" s="22">
        <v>47844</v>
      </c>
    </row>
    <row r="37" spans="1:12" x14ac:dyDescent="0.25">
      <c r="A37" s="24"/>
      <c r="B37" s="25"/>
      <c r="C37" s="25"/>
      <c r="D37" s="25"/>
      <c r="E37" s="25"/>
      <c r="F37" s="25"/>
      <c r="G37" s="25"/>
      <c r="H37" s="25"/>
      <c r="I37" s="25"/>
      <c r="J37" s="25"/>
      <c r="K37" s="25"/>
      <c r="L37" s="25"/>
    </row>
    <row r="38" spans="1:12" x14ac:dyDescent="0.25">
      <c r="A38" s="24" t="s">
        <v>1890</v>
      </c>
      <c r="B38" s="25"/>
      <c r="C38" s="25"/>
      <c r="D38" s="25"/>
      <c r="E38" s="25"/>
      <c r="F38" s="25"/>
      <c r="G38" s="25"/>
      <c r="H38" s="25"/>
      <c r="I38" s="25"/>
      <c r="J38" s="25"/>
      <c r="K38" s="25"/>
      <c r="L38" s="25"/>
    </row>
    <row r="39" spans="1:12" x14ac:dyDescent="0.25">
      <c r="A39" s="6" t="s">
        <v>1889</v>
      </c>
      <c r="B39" s="6" t="s">
        <v>1888</v>
      </c>
      <c r="C39" s="34">
        <v>2904</v>
      </c>
      <c r="D39" s="34">
        <v>2817</v>
      </c>
      <c r="E39" s="34">
        <v>3414</v>
      </c>
      <c r="F39" s="34">
        <v>3103</v>
      </c>
      <c r="G39" s="34">
        <v>3533</v>
      </c>
      <c r="H39" s="34">
        <v>4012</v>
      </c>
      <c r="I39" s="34">
        <v>4676</v>
      </c>
      <c r="J39" s="34">
        <v>5423</v>
      </c>
      <c r="K39" s="34">
        <v>5993</v>
      </c>
      <c r="L39" s="34">
        <v>6539</v>
      </c>
    </row>
    <row r="40" spans="1:12" x14ac:dyDescent="0.25">
      <c r="A40" s="6" t="s">
        <v>1887</v>
      </c>
      <c r="B40" s="6" t="s">
        <v>310</v>
      </c>
      <c r="C40" s="34">
        <v>437</v>
      </c>
      <c r="D40" s="34">
        <v>487</v>
      </c>
      <c r="E40" s="34">
        <v>646</v>
      </c>
      <c r="F40" s="34">
        <v>675</v>
      </c>
      <c r="G40" s="34">
        <v>810</v>
      </c>
      <c r="H40" s="34">
        <v>1129</v>
      </c>
      <c r="I40" s="34">
        <v>1413</v>
      </c>
      <c r="J40" s="34">
        <v>1517</v>
      </c>
      <c r="K40" s="34">
        <v>1679</v>
      </c>
      <c r="L40" s="34">
        <v>1799</v>
      </c>
    </row>
    <row r="41" spans="1:12" x14ac:dyDescent="0.25">
      <c r="A41" s="6" t="s">
        <v>1886</v>
      </c>
      <c r="B41" s="6" t="s">
        <v>313</v>
      </c>
      <c r="C41" s="34">
        <v>40</v>
      </c>
      <c r="D41" s="34">
        <v>143</v>
      </c>
      <c r="E41" s="34">
        <v>158</v>
      </c>
      <c r="F41" s="34">
        <v>171</v>
      </c>
      <c r="G41" s="34">
        <v>207</v>
      </c>
      <c r="H41" s="34">
        <v>192</v>
      </c>
      <c r="I41" s="34">
        <v>292</v>
      </c>
      <c r="J41" s="34">
        <v>391</v>
      </c>
      <c r="K41" s="34">
        <v>539</v>
      </c>
      <c r="L41" s="34">
        <v>418</v>
      </c>
    </row>
    <row r="42" spans="1:12" x14ac:dyDescent="0.25">
      <c r="A42" s="6" t="s">
        <v>1885</v>
      </c>
      <c r="B42" s="6" t="s">
        <v>1884</v>
      </c>
      <c r="C42" s="34">
        <v>159</v>
      </c>
      <c r="D42" s="34">
        <v>178</v>
      </c>
      <c r="E42" s="34">
        <v>192</v>
      </c>
      <c r="F42" s="34">
        <v>213</v>
      </c>
      <c r="G42" s="34">
        <v>237</v>
      </c>
      <c r="H42" s="34">
        <v>263</v>
      </c>
      <c r="I42" s="34">
        <v>284</v>
      </c>
      <c r="J42" s="34">
        <v>304</v>
      </c>
      <c r="K42" s="34">
        <v>320</v>
      </c>
      <c r="L42" s="34">
        <v>337</v>
      </c>
    </row>
    <row r="43" spans="1:12" x14ac:dyDescent="0.25">
      <c r="A43" s="6" t="s">
        <v>1883</v>
      </c>
      <c r="B43" s="6" t="s">
        <v>1305</v>
      </c>
      <c r="C43" s="34">
        <v>2268</v>
      </c>
      <c r="D43" s="34">
        <v>2009</v>
      </c>
      <c r="E43" s="34">
        <v>2418</v>
      </c>
      <c r="F43" s="34">
        <v>2044</v>
      </c>
      <c r="G43" s="34">
        <v>2279</v>
      </c>
      <c r="H43" s="34">
        <v>2428</v>
      </c>
      <c r="I43" s="34">
        <v>2687</v>
      </c>
      <c r="J43" s="34">
        <v>3211</v>
      </c>
      <c r="K43" s="34">
        <v>3455</v>
      </c>
      <c r="L43" s="34">
        <v>3985</v>
      </c>
    </row>
    <row r="44" spans="1:12" x14ac:dyDescent="0.25">
      <c r="A44" s="6" t="s">
        <v>1882</v>
      </c>
      <c r="B44" s="6" t="s">
        <v>1881</v>
      </c>
      <c r="C44" s="34">
        <v>228</v>
      </c>
      <c r="D44" s="34">
        <v>632</v>
      </c>
      <c r="E44" s="34">
        <v>1373</v>
      </c>
      <c r="F44" s="34">
        <v>945</v>
      </c>
      <c r="G44" s="34">
        <v>870</v>
      </c>
      <c r="H44" s="34">
        <v>119</v>
      </c>
      <c r="I44" s="34">
        <v>1312</v>
      </c>
      <c r="J44" s="34">
        <v>2237</v>
      </c>
      <c r="K44" s="34">
        <v>1553</v>
      </c>
      <c r="L44" s="34">
        <v>1153</v>
      </c>
    </row>
    <row r="45" spans="1:12" x14ac:dyDescent="0.25">
      <c r="A45" s="6" t="s">
        <v>1880</v>
      </c>
      <c r="B45" s="6" t="s">
        <v>1879</v>
      </c>
      <c r="C45" s="34">
        <v>0</v>
      </c>
      <c r="D45" s="34">
        <v>0</v>
      </c>
      <c r="E45" s="34">
        <v>0</v>
      </c>
      <c r="F45" s="34">
        <v>0</v>
      </c>
      <c r="G45" s="34">
        <v>0</v>
      </c>
      <c r="H45" s="34">
        <v>0</v>
      </c>
      <c r="I45" s="34">
        <v>0</v>
      </c>
      <c r="J45" s="34">
        <v>0</v>
      </c>
      <c r="K45" s="34">
        <v>0</v>
      </c>
      <c r="L45" s="34">
        <v>0</v>
      </c>
    </row>
    <row r="46" spans="1:12" x14ac:dyDescent="0.25">
      <c r="A46" s="6" t="s">
        <v>1878</v>
      </c>
      <c r="B46" s="6" t="s">
        <v>1877</v>
      </c>
      <c r="C46" s="34">
        <v>0</v>
      </c>
      <c r="D46" s="34">
        <v>0</v>
      </c>
      <c r="E46" s="34">
        <v>0</v>
      </c>
      <c r="F46" s="34">
        <v>86</v>
      </c>
      <c r="G46" s="34">
        <v>109</v>
      </c>
      <c r="H46" s="34">
        <v>112</v>
      </c>
      <c r="I46" s="34">
        <v>121</v>
      </c>
      <c r="J46" s="34">
        <v>143</v>
      </c>
      <c r="K46" s="34">
        <v>144</v>
      </c>
      <c r="L46" s="34">
        <v>153</v>
      </c>
    </row>
    <row r="47" spans="1:12" x14ac:dyDescent="0.25">
      <c r="A47" s="29" t="s">
        <v>1876</v>
      </c>
      <c r="B47" s="29" t="s">
        <v>1875</v>
      </c>
      <c r="C47" s="32">
        <v>0</v>
      </c>
      <c r="D47" s="32">
        <v>0</v>
      </c>
      <c r="E47" s="32">
        <v>0</v>
      </c>
      <c r="F47" s="32" t="s">
        <v>1702</v>
      </c>
      <c r="G47" s="32" t="s">
        <v>1702</v>
      </c>
      <c r="H47" s="32" t="s">
        <v>1702</v>
      </c>
      <c r="I47" s="32" t="s">
        <v>1702</v>
      </c>
      <c r="J47" s="32" t="s">
        <v>1702</v>
      </c>
      <c r="K47" s="32" t="s">
        <v>1702</v>
      </c>
      <c r="L47" s="32" t="s">
        <v>1702</v>
      </c>
    </row>
    <row r="48" spans="1:12" x14ac:dyDescent="0.25">
      <c r="A48" s="29" t="s">
        <v>1874</v>
      </c>
      <c r="B48" s="29" t="s">
        <v>1873</v>
      </c>
      <c r="C48" s="32" t="s">
        <v>1702</v>
      </c>
      <c r="D48" s="32" t="s">
        <v>1702</v>
      </c>
      <c r="E48" s="32" t="s">
        <v>1702</v>
      </c>
      <c r="F48" s="32">
        <v>86</v>
      </c>
      <c r="G48" s="32">
        <v>109</v>
      </c>
      <c r="H48" s="32">
        <v>112</v>
      </c>
      <c r="I48" s="32">
        <v>121</v>
      </c>
      <c r="J48" s="32">
        <v>143</v>
      </c>
      <c r="K48" s="32">
        <v>144</v>
      </c>
      <c r="L48" s="32">
        <v>153</v>
      </c>
    </row>
    <row r="49" spans="1:12" x14ac:dyDescent="0.25">
      <c r="A49" s="6" t="s">
        <v>1872</v>
      </c>
      <c r="B49" s="6" t="s">
        <v>325</v>
      </c>
      <c r="C49" s="34">
        <v>228</v>
      </c>
      <c r="D49" s="34">
        <v>632</v>
      </c>
      <c r="E49" s="34">
        <v>1373</v>
      </c>
      <c r="F49" s="34">
        <v>859</v>
      </c>
      <c r="G49" s="34">
        <v>761</v>
      </c>
      <c r="H49" s="34">
        <v>7</v>
      </c>
      <c r="I49" s="34">
        <v>1191</v>
      </c>
      <c r="J49" s="34">
        <v>2094</v>
      </c>
      <c r="K49" s="34">
        <v>1409</v>
      </c>
      <c r="L49" s="34">
        <v>1000</v>
      </c>
    </row>
    <row r="50" spans="1:12" x14ac:dyDescent="0.25">
      <c r="A50" s="6" t="s">
        <v>1871</v>
      </c>
      <c r="B50" s="6" t="s">
        <v>1870</v>
      </c>
      <c r="C50" s="34">
        <v>16</v>
      </c>
      <c r="D50" s="34">
        <v>36</v>
      </c>
      <c r="E50" s="34">
        <v>20</v>
      </c>
      <c r="F50" s="34">
        <v>352</v>
      </c>
      <c r="G50" s="34">
        <v>638</v>
      </c>
      <c r="H50" s="34">
        <v>418</v>
      </c>
      <c r="I50" s="34">
        <v>315</v>
      </c>
      <c r="J50" s="34">
        <v>261</v>
      </c>
      <c r="K50" s="34">
        <v>70</v>
      </c>
      <c r="L50" s="34">
        <v>102</v>
      </c>
    </row>
    <row r="51" spans="1:12" x14ac:dyDescent="0.25">
      <c r="A51" s="6" t="s">
        <v>1851</v>
      </c>
      <c r="B51" s="6" t="s">
        <v>1869</v>
      </c>
      <c r="C51" s="34">
        <v>0</v>
      </c>
      <c r="D51" s="34">
        <v>0</v>
      </c>
      <c r="E51" s="34">
        <v>0</v>
      </c>
      <c r="F51" s="34">
        <v>0</v>
      </c>
      <c r="G51" s="34">
        <v>0</v>
      </c>
      <c r="H51" s="34">
        <v>0</v>
      </c>
      <c r="I51" s="34">
        <v>0</v>
      </c>
      <c r="J51" s="34">
        <v>0</v>
      </c>
      <c r="K51" s="34">
        <v>0</v>
      </c>
      <c r="L51" s="34">
        <v>0</v>
      </c>
    </row>
    <row r="52" spans="1:12" x14ac:dyDescent="0.25">
      <c r="A52" s="6" t="s">
        <v>1848</v>
      </c>
      <c r="B52" s="6" t="s">
        <v>1868</v>
      </c>
      <c r="C52" s="34">
        <v>16</v>
      </c>
      <c r="D52" s="34">
        <v>36</v>
      </c>
      <c r="E52" s="34">
        <v>20</v>
      </c>
      <c r="F52" s="34">
        <v>21</v>
      </c>
      <c r="G52" s="34">
        <v>123</v>
      </c>
      <c r="H52" s="34">
        <v>17</v>
      </c>
      <c r="I52" s="34">
        <v>85</v>
      </c>
      <c r="J52" s="34">
        <v>52</v>
      </c>
      <c r="K52" s="34">
        <v>70</v>
      </c>
      <c r="L52" s="34">
        <v>102</v>
      </c>
    </row>
    <row r="53" spans="1:12" x14ac:dyDescent="0.25">
      <c r="A53" s="6" t="s">
        <v>1867</v>
      </c>
      <c r="B53" s="6" t="s">
        <v>1866</v>
      </c>
      <c r="C53" s="34">
        <v>0</v>
      </c>
      <c r="D53" s="34">
        <v>0</v>
      </c>
      <c r="E53" s="34">
        <v>0</v>
      </c>
      <c r="F53" s="34">
        <v>331</v>
      </c>
      <c r="G53" s="34">
        <v>515</v>
      </c>
      <c r="H53" s="34">
        <v>401</v>
      </c>
      <c r="I53" s="34">
        <v>230</v>
      </c>
      <c r="J53" s="34">
        <v>209</v>
      </c>
      <c r="K53" s="34">
        <v>0</v>
      </c>
      <c r="L53" s="34">
        <v>0</v>
      </c>
    </row>
    <row r="54" spans="1:12" x14ac:dyDescent="0.25">
      <c r="A54" s="24" t="s">
        <v>1865</v>
      </c>
      <c r="B54" s="24" t="s">
        <v>307</v>
      </c>
      <c r="C54" s="22">
        <v>3148</v>
      </c>
      <c r="D54" s="22">
        <v>3485</v>
      </c>
      <c r="E54" s="22">
        <v>4807</v>
      </c>
      <c r="F54" s="22">
        <v>4400</v>
      </c>
      <c r="G54" s="22">
        <v>5041</v>
      </c>
      <c r="H54" s="22">
        <v>4549</v>
      </c>
      <c r="I54" s="22">
        <v>6303</v>
      </c>
      <c r="J54" s="22">
        <v>7921</v>
      </c>
      <c r="K54" s="22">
        <v>7616</v>
      </c>
      <c r="L54" s="22">
        <v>7794</v>
      </c>
    </row>
    <row r="55" spans="1:12" x14ac:dyDescent="0.25">
      <c r="A55" s="6" t="s">
        <v>1864</v>
      </c>
      <c r="B55" s="6" t="s">
        <v>1863</v>
      </c>
      <c r="C55" s="34">
        <v>6686</v>
      </c>
      <c r="D55" s="34">
        <v>6590</v>
      </c>
      <c r="E55" s="34">
        <v>8486</v>
      </c>
      <c r="F55" s="34">
        <v>10532</v>
      </c>
      <c r="G55" s="34">
        <v>13555</v>
      </c>
      <c r="H55" s="34">
        <v>12782</v>
      </c>
      <c r="I55" s="34">
        <v>12214</v>
      </c>
      <c r="J55" s="34">
        <v>11257</v>
      </c>
      <c r="K55" s="34">
        <v>12567</v>
      </c>
      <c r="L55" s="34">
        <v>15207</v>
      </c>
    </row>
    <row r="56" spans="1:12" x14ac:dyDescent="0.25">
      <c r="A56" s="6" t="s">
        <v>1862</v>
      </c>
      <c r="B56" s="6" t="s">
        <v>1861</v>
      </c>
      <c r="C56" s="34">
        <v>6686</v>
      </c>
      <c r="D56" s="34">
        <v>6590</v>
      </c>
      <c r="E56" s="34">
        <v>8486</v>
      </c>
      <c r="F56" s="34">
        <v>10231</v>
      </c>
      <c r="G56" s="34">
        <v>13230</v>
      </c>
      <c r="H56" s="34">
        <v>12472</v>
      </c>
      <c r="I56" s="34">
        <v>11857</v>
      </c>
      <c r="J56" s="34">
        <v>10901</v>
      </c>
      <c r="K56" s="34">
        <v>12188</v>
      </c>
      <c r="L56" s="34">
        <v>14859</v>
      </c>
    </row>
    <row r="57" spans="1:12" x14ac:dyDescent="0.25">
      <c r="A57" s="6" t="s">
        <v>1860</v>
      </c>
      <c r="B57" s="6" t="s">
        <v>1859</v>
      </c>
      <c r="C57" s="34">
        <v>0</v>
      </c>
      <c r="D57" s="34">
        <v>0</v>
      </c>
      <c r="E57" s="34">
        <v>0</v>
      </c>
      <c r="F57" s="34">
        <v>301</v>
      </c>
      <c r="G57" s="34">
        <v>325</v>
      </c>
      <c r="H57" s="34">
        <v>310</v>
      </c>
      <c r="I57" s="34">
        <v>357</v>
      </c>
      <c r="J57" s="34">
        <v>356</v>
      </c>
      <c r="K57" s="34">
        <v>379</v>
      </c>
      <c r="L57" s="34">
        <v>348</v>
      </c>
    </row>
    <row r="58" spans="1:12" x14ac:dyDescent="0.25">
      <c r="A58" s="29" t="s">
        <v>1858</v>
      </c>
      <c r="B58" s="29" t="s">
        <v>1857</v>
      </c>
      <c r="C58" s="32">
        <v>0</v>
      </c>
      <c r="D58" s="32">
        <v>0</v>
      </c>
      <c r="E58" s="32">
        <v>0</v>
      </c>
      <c r="F58" s="32" t="s">
        <v>1702</v>
      </c>
      <c r="G58" s="32" t="s">
        <v>1702</v>
      </c>
      <c r="H58" s="32" t="s">
        <v>1702</v>
      </c>
      <c r="I58" s="32" t="s">
        <v>1702</v>
      </c>
      <c r="J58" s="32" t="s">
        <v>1702</v>
      </c>
      <c r="K58" s="32" t="s">
        <v>1702</v>
      </c>
      <c r="L58" s="32" t="s">
        <v>1702</v>
      </c>
    </row>
    <row r="59" spans="1:12" x14ac:dyDescent="0.25">
      <c r="A59" s="29" t="s">
        <v>1856</v>
      </c>
      <c r="B59" s="29" t="s">
        <v>1428</v>
      </c>
      <c r="C59" s="32" t="s">
        <v>1702</v>
      </c>
      <c r="D59" s="32" t="s">
        <v>1702</v>
      </c>
      <c r="E59" s="32" t="s">
        <v>1702</v>
      </c>
      <c r="F59" s="32">
        <v>301</v>
      </c>
      <c r="G59" s="32">
        <v>325</v>
      </c>
      <c r="H59" s="32">
        <v>310</v>
      </c>
      <c r="I59" s="32">
        <v>357</v>
      </c>
      <c r="J59" s="32">
        <v>356</v>
      </c>
      <c r="K59" s="32">
        <v>379</v>
      </c>
      <c r="L59" s="32">
        <v>348</v>
      </c>
    </row>
    <row r="60" spans="1:12" x14ac:dyDescent="0.25">
      <c r="A60" s="6" t="s">
        <v>1855</v>
      </c>
      <c r="B60" s="6" t="s">
        <v>334</v>
      </c>
      <c r="C60" s="34">
        <v>1051</v>
      </c>
      <c r="D60" s="34">
        <v>2142</v>
      </c>
      <c r="E60" s="34">
        <v>2206</v>
      </c>
      <c r="F60" s="34">
        <v>2428</v>
      </c>
      <c r="G60" s="34">
        <v>2650</v>
      </c>
      <c r="H60" s="34">
        <v>2423</v>
      </c>
      <c r="I60" s="34">
        <v>1751</v>
      </c>
      <c r="J60" s="34">
        <v>2141</v>
      </c>
      <c r="K60" s="34">
        <v>2154</v>
      </c>
      <c r="L60" s="34">
        <v>2423</v>
      </c>
    </row>
    <row r="61" spans="1:12" x14ac:dyDescent="0.25">
      <c r="A61" s="6" t="s">
        <v>1854</v>
      </c>
      <c r="B61" s="6" t="s">
        <v>1853</v>
      </c>
      <c r="C61" s="34">
        <v>0</v>
      </c>
      <c r="D61" s="34">
        <v>0</v>
      </c>
      <c r="E61" s="34">
        <v>0</v>
      </c>
      <c r="F61" s="34">
        <v>0</v>
      </c>
      <c r="G61" s="34">
        <v>0</v>
      </c>
      <c r="H61" s="34">
        <v>0</v>
      </c>
      <c r="I61" s="34">
        <v>0</v>
      </c>
      <c r="J61" s="34">
        <v>0</v>
      </c>
      <c r="K61" s="34">
        <v>0</v>
      </c>
      <c r="L61" s="34">
        <v>0</v>
      </c>
    </row>
    <row r="62" spans="1:12" x14ac:dyDescent="0.25">
      <c r="A62" s="6" t="s">
        <v>1852</v>
      </c>
      <c r="B62" s="6" t="s">
        <v>568</v>
      </c>
      <c r="C62" s="34">
        <v>279</v>
      </c>
      <c r="D62" s="34">
        <v>336</v>
      </c>
      <c r="E62" s="34">
        <v>357</v>
      </c>
      <c r="F62" s="34">
        <v>439</v>
      </c>
      <c r="G62" s="34">
        <v>594</v>
      </c>
      <c r="H62" s="34">
        <v>491</v>
      </c>
      <c r="I62" s="34">
        <v>271</v>
      </c>
      <c r="J62" s="34">
        <v>359</v>
      </c>
      <c r="K62" s="34">
        <v>335</v>
      </c>
      <c r="L62" s="34">
        <v>336</v>
      </c>
    </row>
    <row r="63" spans="1:12" x14ac:dyDescent="0.25">
      <c r="A63" s="6" t="s">
        <v>1851</v>
      </c>
      <c r="B63" s="6" t="s">
        <v>1850</v>
      </c>
      <c r="C63" s="34">
        <v>0</v>
      </c>
      <c r="D63" s="34">
        <v>0</v>
      </c>
      <c r="E63" s="34">
        <v>0</v>
      </c>
      <c r="F63" s="34">
        <v>0</v>
      </c>
      <c r="G63" s="34">
        <v>0</v>
      </c>
      <c r="H63" s="34">
        <v>0</v>
      </c>
      <c r="I63" s="34">
        <v>0</v>
      </c>
      <c r="J63" s="34">
        <v>0</v>
      </c>
      <c r="K63" s="34">
        <v>0</v>
      </c>
      <c r="L63" s="34">
        <v>0</v>
      </c>
    </row>
    <row r="64" spans="1:12" x14ac:dyDescent="0.25">
      <c r="A64" s="6" t="s">
        <v>1849</v>
      </c>
      <c r="B64" s="6" t="s">
        <v>565</v>
      </c>
      <c r="C64" s="34">
        <v>55</v>
      </c>
      <c r="D64" s="34">
        <v>47</v>
      </c>
      <c r="E64" s="34">
        <v>54</v>
      </c>
      <c r="F64" s="34">
        <v>108</v>
      </c>
      <c r="G64" s="34">
        <v>117</v>
      </c>
      <c r="H64" s="34">
        <v>68</v>
      </c>
      <c r="I64" s="34">
        <v>67</v>
      </c>
      <c r="J64" s="34">
        <v>63</v>
      </c>
      <c r="K64" s="34">
        <v>82</v>
      </c>
      <c r="L64" s="34">
        <v>137</v>
      </c>
    </row>
    <row r="65" spans="1:12" x14ac:dyDescent="0.25">
      <c r="A65" s="6" t="s">
        <v>1848</v>
      </c>
      <c r="B65" s="6" t="s">
        <v>1847</v>
      </c>
      <c r="C65" s="34">
        <v>2</v>
      </c>
      <c r="D65" s="34">
        <v>1</v>
      </c>
      <c r="E65" s="34">
        <v>0</v>
      </c>
      <c r="F65" s="34">
        <v>2</v>
      </c>
      <c r="G65" s="34">
        <v>0</v>
      </c>
      <c r="H65" s="34">
        <v>0</v>
      </c>
      <c r="I65" s="34">
        <v>17</v>
      </c>
      <c r="J65" s="34">
        <v>45</v>
      </c>
      <c r="K65" s="34">
        <v>7</v>
      </c>
      <c r="L65" s="34">
        <v>68</v>
      </c>
    </row>
    <row r="66" spans="1:12" x14ac:dyDescent="0.25">
      <c r="A66" s="6" t="s">
        <v>1846</v>
      </c>
      <c r="B66" s="6" t="s">
        <v>1845</v>
      </c>
      <c r="C66" s="34">
        <v>715</v>
      </c>
      <c r="D66" s="34">
        <v>1758</v>
      </c>
      <c r="E66" s="34">
        <v>1795</v>
      </c>
      <c r="F66" s="34">
        <v>1879</v>
      </c>
      <c r="G66" s="34">
        <v>1939</v>
      </c>
      <c r="H66" s="34">
        <v>1864</v>
      </c>
      <c r="I66" s="34">
        <v>1396</v>
      </c>
      <c r="J66" s="34">
        <v>1674</v>
      </c>
      <c r="K66" s="34">
        <v>1730</v>
      </c>
      <c r="L66" s="34">
        <v>1882</v>
      </c>
    </row>
    <row r="67" spans="1:12" x14ac:dyDescent="0.25">
      <c r="A67" s="24" t="s">
        <v>1844</v>
      </c>
      <c r="B67" s="24" t="s">
        <v>1843</v>
      </c>
      <c r="C67" s="22">
        <v>7737</v>
      </c>
      <c r="D67" s="22">
        <v>8732</v>
      </c>
      <c r="E67" s="22">
        <v>10692</v>
      </c>
      <c r="F67" s="22">
        <v>12960</v>
      </c>
      <c r="G67" s="22">
        <v>16205</v>
      </c>
      <c r="H67" s="22">
        <v>15205</v>
      </c>
      <c r="I67" s="22">
        <v>13965</v>
      </c>
      <c r="J67" s="22">
        <v>13398</v>
      </c>
      <c r="K67" s="22">
        <v>14721</v>
      </c>
      <c r="L67" s="22">
        <v>17630</v>
      </c>
    </row>
    <row r="68" spans="1:12" x14ac:dyDescent="0.25">
      <c r="A68" s="24" t="s">
        <v>1608</v>
      </c>
      <c r="B68" s="24" t="s">
        <v>1842</v>
      </c>
      <c r="C68" s="22">
        <v>10885</v>
      </c>
      <c r="D68" s="22">
        <v>12217</v>
      </c>
      <c r="E68" s="22">
        <v>15499</v>
      </c>
      <c r="F68" s="22">
        <v>17360</v>
      </c>
      <c r="G68" s="22">
        <v>21246</v>
      </c>
      <c r="H68" s="22">
        <v>19754</v>
      </c>
      <c r="I68" s="22">
        <v>20268</v>
      </c>
      <c r="J68" s="22">
        <v>21319</v>
      </c>
      <c r="K68" s="22">
        <v>22337</v>
      </c>
      <c r="L68" s="22">
        <v>25424</v>
      </c>
    </row>
    <row r="69" spans="1:12" x14ac:dyDescent="0.25">
      <c r="A69" s="6" t="s">
        <v>1841</v>
      </c>
      <c r="B69" s="6" t="s">
        <v>1840</v>
      </c>
      <c r="C69" s="34">
        <v>0</v>
      </c>
      <c r="D69" s="34">
        <v>0</v>
      </c>
      <c r="E69" s="34">
        <v>0</v>
      </c>
      <c r="F69" s="34">
        <v>0</v>
      </c>
      <c r="G69" s="34">
        <v>0</v>
      </c>
      <c r="H69" s="34">
        <v>0</v>
      </c>
      <c r="I69" s="34">
        <v>0</v>
      </c>
      <c r="J69" s="34">
        <v>0</v>
      </c>
      <c r="K69" s="34">
        <v>0</v>
      </c>
      <c r="L69" s="34">
        <v>0</v>
      </c>
    </row>
    <row r="70" spans="1:12" x14ac:dyDescent="0.25">
      <c r="A70" s="6" t="s">
        <v>1839</v>
      </c>
      <c r="B70" s="6" t="s">
        <v>560</v>
      </c>
      <c r="C70" s="34">
        <v>1469</v>
      </c>
      <c r="D70" s="34">
        <v>1533</v>
      </c>
      <c r="E70" s="34">
        <v>1596</v>
      </c>
      <c r="F70" s="34">
        <v>1665</v>
      </c>
      <c r="G70" s="34">
        <v>1779</v>
      </c>
      <c r="H70" s="34">
        <v>1928</v>
      </c>
      <c r="I70" s="34">
        <v>2072</v>
      </c>
      <c r="J70" s="34">
        <v>2238</v>
      </c>
      <c r="K70" s="34">
        <v>2399</v>
      </c>
      <c r="L70" s="34">
        <v>2635</v>
      </c>
    </row>
    <row r="71" spans="1:12" x14ac:dyDescent="0.25">
      <c r="A71" s="6" t="s">
        <v>1838</v>
      </c>
      <c r="B71" s="6" t="s">
        <v>348</v>
      </c>
      <c r="C71" s="34">
        <v>37</v>
      </c>
      <c r="D71" s="34">
        <v>37</v>
      </c>
      <c r="E71" s="34">
        <v>37</v>
      </c>
      <c r="F71" s="34">
        <v>37</v>
      </c>
      <c r="G71" s="34">
        <v>38</v>
      </c>
      <c r="H71" s="34">
        <v>38</v>
      </c>
      <c r="I71" s="34">
        <v>38</v>
      </c>
      <c r="J71" s="34">
        <v>38</v>
      </c>
      <c r="K71" s="34">
        <v>38</v>
      </c>
      <c r="L71" s="34">
        <v>38</v>
      </c>
    </row>
    <row r="72" spans="1:12" x14ac:dyDescent="0.25">
      <c r="A72" s="6" t="s">
        <v>1837</v>
      </c>
      <c r="B72" s="6" t="s">
        <v>351</v>
      </c>
      <c r="C72" s="34">
        <v>1432</v>
      </c>
      <c r="D72" s="34">
        <v>1496</v>
      </c>
      <c r="E72" s="34">
        <v>1559</v>
      </c>
      <c r="F72" s="34">
        <v>1628</v>
      </c>
      <c r="G72" s="34">
        <v>1741</v>
      </c>
      <c r="H72" s="34">
        <v>1890</v>
      </c>
      <c r="I72" s="34">
        <v>2034</v>
      </c>
      <c r="J72" s="34">
        <v>2200</v>
      </c>
      <c r="K72" s="34">
        <v>2361</v>
      </c>
      <c r="L72" s="34">
        <v>2597</v>
      </c>
    </row>
    <row r="73" spans="1:12" x14ac:dyDescent="0.25">
      <c r="A73" s="6" t="s">
        <v>1836</v>
      </c>
      <c r="B73" s="6" t="s">
        <v>556</v>
      </c>
      <c r="C73" s="34">
        <v>0</v>
      </c>
      <c r="D73" s="34">
        <v>0</v>
      </c>
      <c r="E73" s="34">
        <v>0</v>
      </c>
      <c r="F73" s="34">
        <v>0</v>
      </c>
      <c r="G73" s="34">
        <v>0</v>
      </c>
      <c r="H73" s="34">
        <v>0</v>
      </c>
      <c r="I73" s="34">
        <v>0</v>
      </c>
      <c r="J73" s="34">
        <v>0</v>
      </c>
      <c r="K73" s="34">
        <v>0</v>
      </c>
      <c r="L73" s="34">
        <v>0</v>
      </c>
    </row>
    <row r="74" spans="1:12" x14ac:dyDescent="0.25">
      <c r="A74" s="6" t="s">
        <v>1835</v>
      </c>
      <c r="B74" s="6" t="s">
        <v>354</v>
      </c>
      <c r="C74" s="34">
        <v>8842</v>
      </c>
      <c r="D74" s="34">
        <v>8986</v>
      </c>
      <c r="E74" s="34">
        <v>10765</v>
      </c>
      <c r="F74" s="34">
        <v>11748</v>
      </c>
      <c r="G74" s="34">
        <v>12462</v>
      </c>
      <c r="H74" s="34">
        <v>13480</v>
      </c>
      <c r="I74" s="34">
        <v>14765</v>
      </c>
      <c r="J74" s="34">
        <v>16771</v>
      </c>
      <c r="K74" s="34">
        <v>18528</v>
      </c>
      <c r="L74" s="34">
        <v>20472</v>
      </c>
    </row>
    <row r="75" spans="1:12" x14ac:dyDescent="0.25">
      <c r="A75" s="6" t="s">
        <v>1834</v>
      </c>
      <c r="B75" s="6" t="s">
        <v>1833</v>
      </c>
      <c r="C75" s="34">
        <v>-761</v>
      </c>
      <c r="D75" s="34">
        <v>-553</v>
      </c>
      <c r="E75" s="34">
        <v>-631</v>
      </c>
      <c r="F75" s="34">
        <v>-606</v>
      </c>
      <c r="G75" s="34">
        <v>-1157</v>
      </c>
      <c r="H75" s="34">
        <v>-531</v>
      </c>
      <c r="I75" s="34">
        <v>-221</v>
      </c>
      <c r="J75" s="34">
        <v>-416</v>
      </c>
      <c r="K75" s="34">
        <v>-293</v>
      </c>
      <c r="L75" s="34">
        <v>-687</v>
      </c>
    </row>
    <row r="76" spans="1:12" x14ac:dyDescent="0.25">
      <c r="A76" s="24" t="s">
        <v>1832</v>
      </c>
      <c r="B76" s="24" t="s">
        <v>1831</v>
      </c>
      <c r="C76" s="22">
        <v>9550</v>
      </c>
      <c r="D76" s="22">
        <v>9966</v>
      </c>
      <c r="E76" s="22">
        <v>11730</v>
      </c>
      <c r="F76" s="22">
        <v>12807</v>
      </c>
      <c r="G76" s="22">
        <v>13084</v>
      </c>
      <c r="H76" s="22">
        <v>14877</v>
      </c>
      <c r="I76" s="22">
        <v>16616</v>
      </c>
      <c r="J76" s="22">
        <v>18593</v>
      </c>
      <c r="K76" s="22">
        <v>20634</v>
      </c>
      <c r="L76" s="22">
        <v>22420</v>
      </c>
    </row>
    <row r="77" spans="1:12" x14ac:dyDescent="0.25">
      <c r="A77" s="6" t="s">
        <v>1830</v>
      </c>
      <c r="B77" s="6" t="s">
        <v>1298</v>
      </c>
      <c r="C77" s="34">
        <v>0</v>
      </c>
      <c r="D77" s="34">
        <v>14</v>
      </c>
      <c r="E77" s="34">
        <v>0</v>
      </c>
      <c r="F77" s="34">
        <v>0</v>
      </c>
      <c r="G77" s="34">
        <v>0</v>
      </c>
      <c r="H77" s="34">
        <v>0</v>
      </c>
      <c r="I77" s="34">
        <v>0</v>
      </c>
      <c r="J77" s="34">
        <v>0</v>
      </c>
      <c r="K77" s="34">
        <v>0</v>
      </c>
      <c r="L77" s="34">
        <v>0</v>
      </c>
    </row>
    <row r="78" spans="1:12" x14ac:dyDescent="0.25">
      <c r="A78" s="24" t="s">
        <v>1829</v>
      </c>
      <c r="B78" s="24" t="s">
        <v>1828</v>
      </c>
      <c r="C78" s="22">
        <v>9550</v>
      </c>
      <c r="D78" s="22">
        <v>9980</v>
      </c>
      <c r="E78" s="22">
        <v>11730</v>
      </c>
      <c r="F78" s="22">
        <v>12807</v>
      </c>
      <c r="G78" s="22">
        <v>13084</v>
      </c>
      <c r="H78" s="22">
        <v>14877</v>
      </c>
      <c r="I78" s="22">
        <v>16616</v>
      </c>
      <c r="J78" s="22">
        <v>18593</v>
      </c>
      <c r="K78" s="22">
        <v>20634</v>
      </c>
      <c r="L78" s="22">
        <v>22420</v>
      </c>
    </row>
    <row r="79" spans="1:12" x14ac:dyDescent="0.25">
      <c r="A79" s="24" t="s">
        <v>1827</v>
      </c>
      <c r="B79" s="24" t="s">
        <v>1826</v>
      </c>
      <c r="C79" s="22">
        <v>20435</v>
      </c>
      <c r="D79" s="22">
        <v>22197</v>
      </c>
      <c r="E79" s="22">
        <v>27229</v>
      </c>
      <c r="F79" s="22">
        <v>30167</v>
      </c>
      <c r="G79" s="22">
        <v>34330</v>
      </c>
      <c r="H79" s="22">
        <v>34631</v>
      </c>
      <c r="I79" s="22">
        <v>36884</v>
      </c>
      <c r="J79" s="22">
        <v>39912</v>
      </c>
      <c r="K79" s="22">
        <v>42971</v>
      </c>
      <c r="L79" s="22">
        <v>47844</v>
      </c>
    </row>
    <row r="80" spans="1:12" x14ac:dyDescent="0.25">
      <c r="A80" s="24"/>
      <c r="B80" s="25"/>
      <c r="C80" s="25"/>
      <c r="D80" s="25"/>
      <c r="E80" s="25"/>
      <c r="F80" s="25"/>
      <c r="G80" s="25"/>
      <c r="H80" s="25"/>
      <c r="I80" s="25"/>
      <c r="J80" s="25"/>
      <c r="K80" s="25"/>
      <c r="L80" s="25"/>
    </row>
    <row r="81" spans="1:12" x14ac:dyDescent="0.25">
      <c r="A81" s="24" t="s">
        <v>1722</v>
      </c>
      <c r="B81" s="25"/>
      <c r="C81" s="25"/>
      <c r="D81" s="25"/>
      <c r="E81" s="25"/>
      <c r="F81" s="25"/>
      <c r="G81" s="25"/>
      <c r="H81" s="25"/>
      <c r="I81" s="25"/>
      <c r="J81" s="25"/>
      <c r="K81" s="25"/>
      <c r="L81" s="25"/>
    </row>
    <row r="82" spans="1:12" x14ac:dyDescent="0.25">
      <c r="A82" s="6" t="s">
        <v>1721</v>
      </c>
      <c r="B82" s="6" t="s">
        <v>1720</v>
      </c>
      <c r="C82" s="41" t="s">
        <v>1719</v>
      </c>
      <c r="D82" s="41" t="s">
        <v>1719</v>
      </c>
      <c r="E82" s="41" t="s">
        <v>1719</v>
      </c>
      <c r="F82" s="41" t="s">
        <v>1719</v>
      </c>
      <c r="G82" s="41" t="s">
        <v>1719</v>
      </c>
      <c r="H82" s="41" t="s">
        <v>1719</v>
      </c>
      <c r="I82" s="41" t="s">
        <v>1719</v>
      </c>
      <c r="J82" s="41" t="s">
        <v>1719</v>
      </c>
      <c r="K82" s="41" t="s">
        <v>1719</v>
      </c>
      <c r="L82" s="41" t="s">
        <v>1719</v>
      </c>
    </row>
    <row r="83" spans="1:12" x14ac:dyDescent="0.25">
      <c r="A83" s="6" t="s">
        <v>1825</v>
      </c>
      <c r="B83" s="6" t="s">
        <v>1824</v>
      </c>
      <c r="C83" s="34">
        <v>375</v>
      </c>
      <c r="D83" s="34">
        <v>374.23759999999999</v>
      </c>
      <c r="E83" s="34">
        <v>372.66460000000001</v>
      </c>
      <c r="F83" s="34">
        <v>374.57510000000002</v>
      </c>
      <c r="G83" s="34">
        <v>376.20089999999999</v>
      </c>
      <c r="H83" s="34">
        <v>377.54469999999998</v>
      </c>
      <c r="I83" s="34">
        <v>378.83120000000002</v>
      </c>
      <c r="J83" s="34">
        <v>380.26400000000001</v>
      </c>
      <c r="K83" s="34">
        <v>381.4</v>
      </c>
      <c r="L83" s="34">
        <v>382.5</v>
      </c>
    </row>
    <row r="84" spans="1:12" x14ac:dyDescent="0.25">
      <c r="A84" s="6" t="s">
        <v>1823</v>
      </c>
      <c r="B84" s="6" t="s">
        <v>1822</v>
      </c>
      <c r="C84" s="34">
        <v>0</v>
      </c>
      <c r="D84" s="34">
        <v>0</v>
      </c>
      <c r="E84" s="34">
        <v>0</v>
      </c>
      <c r="F84" s="34">
        <v>0</v>
      </c>
      <c r="G84" s="34">
        <v>0</v>
      </c>
      <c r="H84" s="34">
        <v>0</v>
      </c>
      <c r="I84" s="34">
        <v>0</v>
      </c>
      <c r="J84" s="34">
        <v>0</v>
      </c>
      <c r="K84" s="34">
        <v>0</v>
      </c>
      <c r="L84" s="34">
        <v>0</v>
      </c>
    </row>
    <row r="85" spans="1:12" x14ac:dyDescent="0.25">
      <c r="A85" s="6" t="s">
        <v>1821</v>
      </c>
      <c r="B85" s="6" t="s">
        <v>1820</v>
      </c>
      <c r="C85" s="34">
        <v>279</v>
      </c>
      <c r="D85" s="34">
        <v>336</v>
      </c>
      <c r="E85" s="34">
        <v>357</v>
      </c>
      <c r="F85" s="34">
        <v>439</v>
      </c>
      <c r="G85" s="34">
        <v>594</v>
      </c>
      <c r="H85" s="34">
        <v>491</v>
      </c>
      <c r="I85" s="34">
        <v>271</v>
      </c>
      <c r="J85" s="34">
        <v>359</v>
      </c>
      <c r="K85" s="34">
        <v>335</v>
      </c>
      <c r="L85" s="34">
        <v>336</v>
      </c>
    </row>
    <row r="86" spans="1:12" x14ac:dyDescent="0.25">
      <c r="A86" s="6" t="s">
        <v>1819</v>
      </c>
      <c r="B86" s="6" t="s">
        <v>1818</v>
      </c>
      <c r="C86" s="34">
        <v>269</v>
      </c>
      <c r="D86" s="34">
        <v>326</v>
      </c>
      <c r="E86" s="34">
        <v>342</v>
      </c>
      <c r="F86" s="34">
        <v>395</v>
      </c>
      <c r="G86" s="34">
        <v>420</v>
      </c>
      <c r="H86" s="34">
        <v>402</v>
      </c>
      <c r="I86" s="34">
        <v>466</v>
      </c>
      <c r="J86" s="34">
        <v>520</v>
      </c>
      <c r="K86" s="34">
        <v>550</v>
      </c>
      <c r="L86" s="34">
        <v>524</v>
      </c>
    </row>
    <row r="87" spans="1:12" x14ac:dyDescent="0.25">
      <c r="A87" s="6" t="s">
        <v>1817</v>
      </c>
      <c r="B87" s="6" t="s">
        <v>1816</v>
      </c>
      <c r="C87" s="34">
        <v>0</v>
      </c>
      <c r="D87" s="34">
        <v>0</v>
      </c>
      <c r="E87" s="34">
        <v>0</v>
      </c>
      <c r="F87" s="34" t="s">
        <v>1702</v>
      </c>
      <c r="G87" s="34" t="s">
        <v>1702</v>
      </c>
      <c r="H87" s="34" t="s">
        <v>1702</v>
      </c>
      <c r="I87" s="34" t="s">
        <v>1702</v>
      </c>
      <c r="J87" s="34" t="s">
        <v>1702</v>
      </c>
      <c r="K87" s="34" t="s">
        <v>1702</v>
      </c>
      <c r="L87" s="34" t="s">
        <v>1702</v>
      </c>
    </row>
    <row r="88" spans="1:12" x14ac:dyDescent="0.25">
      <c r="A88" s="6" t="s">
        <v>1815</v>
      </c>
      <c r="B88" s="6" t="s">
        <v>1814</v>
      </c>
      <c r="C88" s="34">
        <v>3.1</v>
      </c>
      <c r="D88" s="34">
        <v>2.9</v>
      </c>
      <c r="E88" s="34">
        <v>2.4</v>
      </c>
      <c r="F88" s="34">
        <v>2.1</v>
      </c>
      <c r="G88" s="34">
        <v>1.8</v>
      </c>
      <c r="H88" s="34">
        <v>1.8</v>
      </c>
      <c r="I88" s="34">
        <v>1.9</v>
      </c>
      <c r="J88" s="34">
        <v>1.6</v>
      </c>
      <c r="K88" s="34">
        <v>1.3</v>
      </c>
      <c r="L88" s="34">
        <v>1</v>
      </c>
    </row>
    <row r="89" spans="1:12" x14ac:dyDescent="0.25">
      <c r="A89" s="6" t="s">
        <v>1813</v>
      </c>
      <c r="B89" s="6" t="s">
        <v>1812</v>
      </c>
      <c r="C89" s="34">
        <v>14.9</v>
      </c>
      <c r="D89" s="34">
        <v>14.7</v>
      </c>
      <c r="E89" s="34">
        <v>14.1</v>
      </c>
      <c r="F89" s="34">
        <v>12.8</v>
      </c>
      <c r="G89" s="34">
        <v>12.2</v>
      </c>
      <c r="H89" s="34">
        <v>12.1</v>
      </c>
      <c r="I89" s="34">
        <v>12.1</v>
      </c>
      <c r="J89" s="34">
        <v>11.5</v>
      </c>
      <c r="K89" s="34">
        <v>10.8</v>
      </c>
      <c r="L89" s="34">
        <v>10.4</v>
      </c>
    </row>
    <row r="90" spans="1:12" x14ac:dyDescent="0.25">
      <c r="A90" s="6" t="s">
        <v>1811</v>
      </c>
      <c r="B90" s="6" t="s">
        <v>553</v>
      </c>
      <c r="C90" s="34">
        <v>3530</v>
      </c>
      <c r="D90" s="34">
        <v>4429</v>
      </c>
      <c r="E90" s="34">
        <v>6160</v>
      </c>
      <c r="F90" s="34">
        <v>7052</v>
      </c>
      <c r="G90" s="34">
        <v>11401</v>
      </c>
      <c r="H90" s="34">
        <v>9882</v>
      </c>
      <c r="I90" s="34">
        <v>11598</v>
      </c>
      <c r="J90" s="34">
        <v>10441</v>
      </c>
      <c r="K90" s="34">
        <v>9627</v>
      </c>
      <c r="L90" s="34">
        <v>12260</v>
      </c>
    </row>
    <row r="91" spans="1:12" x14ac:dyDescent="0.25">
      <c r="A91" s="6" t="s">
        <v>1810</v>
      </c>
      <c r="B91" s="6" t="s">
        <v>1809</v>
      </c>
      <c r="C91" s="8">
        <v>36.9634</v>
      </c>
      <c r="D91" s="8">
        <v>44.378799999999998</v>
      </c>
      <c r="E91" s="8">
        <v>52.514899999999997</v>
      </c>
      <c r="F91" s="8">
        <v>55.063600000000001</v>
      </c>
      <c r="G91" s="8">
        <v>87.137</v>
      </c>
      <c r="H91" s="8">
        <v>66.424700000000001</v>
      </c>
      <c r="I91" s="8">
        <v>69.800200000000004</v>
      </c>
      <c r="J91" s="8">
        <v>56.155500000000004</v>
      </c>
      <c r="K91" s="8">
        <v>46.655999999999999</v>
      </c>
      <c r="L91" s="8">
        <v>54.683300000000003</v>
      </c>
    </row>
    <row r="92" spans="1:12" x14ac:dyDescent="0.25">
      <c r="A92" s="6" t="s">
        <v>1808</v>
      </c>
      <c r="B92" s="6" t="s">
        <v>1807</v>
      </c>
      <c r="C92" s="8">
        <v>-2.9704000000000002</v>
      </c>
      <c r="D92" s="8">
        <v>-5.8777999999999997</v>
      </c>
      <c r="E92" s="8">
        <v>-6.8674999999999997</v>
      </c>
      <c r="F92" s="8">
        <v>-2.8984999999999999</v>
      </c>
      <c r="G92" s="8">
        <v>-32.804099999999998</v>
      </c>
      <c r="H92" s="8">
        <v>-17.0746</v>
      </c>
      <c r="I92" s="8">
        <v>-18.3948</v>
      </c>
      <c r="J92" s="8">
        <v>-6.1914999999999996</v>
      </c>
      <c r="K92" s="8">
        <v>1.6900999999999999</v>
      </c>
      <c r="L92" s="8">
        <v>-11.1577</v>
      </c>
    </row>
    <row r="93" spans="1:12" x14ac:dyDescent="0.25">
      <c r="A93" s="6" t="s">
        <v>1623</v>
      </c>
      <c r="B93" s="6" t="s">
        <v>371</v>
      </c>
      <c r="C93" s="8">
        <v>2.4971000000000001</v>
      </c>
      <c r="D93" s="8">
        <v>2.2934999999999999</v>
      </c>
      <c r="E93" s="8">
        <v>2.0247999999999999</v>
      </c>
      <c r="F93" s="8">
        <v>2.5131999999999999</v>
      </c>
      <c r="G93" s="8">
        <v>1.9256</v>
      </c>
      <c r="H93" s="8">
        <v>2.202</v>
      </c>
      <c r="I93" s="8">
        <v>1.6302000000000001</v>
      </c>
      <c r="J93" s="8">
        <v>1.5804</v>
      </c>
      <c r="K93" s="8">
        <v>1.9494</v>
      </c>
      <c r="L93" s="8">
        <v>1.8931</v>
      </c>
    </row>
    <row r="94" spans="1:12" x14ac:dyDescent="0.25">
      <c r="A94" s="6" t="s">
        <v>1806</v>
      </c>
      <c r="B94" s="6" t="s">
        <v>68</v>
      </c>
      <c r="C94" s="8">
        <v>197.56120000000001</v>
      </c>
      <c r="D94" s="8">
        <v>217.5831</v>
      </c>
      <c r="E94" s="8">
        <v>232.78489999999999</v>
      </c>
      <c r="F94" s="8">
        <v>226.59729999999999</v>
      </c>
      <c r="G94" s="8">
        <v>248.3329</v>
      </c>
      <c r="H94" s="8">
        <v>204.03149999999999</v>
      </c>
      <c r="I94" s="8">
        <v>197.86369999999999</v>
      </c>
      <c r="J94" s="8">
        <v>217.53559999999999</v>
      </c>
      <c r="K94" s="8">
        <v>206.2612</v>
      </c>
      <c r="L94" s="8">
        <v>195.4402</v>
      </c>
    </row>
    <row r="95" spans="1:12" x14ac:dyDescent="0.25">
      <c r="A95" s="6" t="s">
        <v>1805</v>
      </c>
      <c r="B95" s="6" t="s">
        <v>1804</v>
      </c>
      <c r="C95" s="34">
        <v>2842.56</v>
      </c>
      <c r="D95" s="34">
        <v>1731.66</v>
      </c>
      <c r="E95" s="34">
        <v>924.75</v>
      </c>
      <c r="F95" s="34">
        <v>1106.25</v>
      </c>
      <c r="G95" s="34">
        <v>81</v>
      </c>
      <c r="H95" s="34">
        <v>75</v>
      </c>
      <c r="I95" s="34">
        <v>84</v>
      </c>
      <c r="J95" s="34">
        <v>82</v>
      </c>
      <c r="K95" s="34">
        <v>91</v>
      </c>
      <c r="L95" s="34">
        <v>89</v>
      </c>
    </row>
    <row r="96" spans="1:12" x14ac:dyDescent="0.25">
      <c r="A96" s="6" t="s">
        <v>1803</v>
      </c>
      <c r="B96" s="6" t="s">
        <v>1802</v>
      </c>
      <c r="C96" s="8">
        <v>33000</v>
      </c>
      <c r="D96" s="8">
        <v>33000</v>
      </c>
      <c r="E96" s="8">
        <v>36000</v>
      </c>
      <c r="F96" s="8">
        <v>40000</v>
      </c>
      <c r="G96" s="8">
        <v>43000</v>
      </c>
      <c r="H96" s="8">
        <v>46000</v>
      </c>
      <c r="I96" s="8">
        <v>51000</v>
      </c>
      <c r="J96" s="8">
        <v>52000</v>
      </c>
      <c r="K96" s="8">
        <v>53000</v>
      </c>
      <c r="L96" s="8" t="s">
        <v>1702</v>
      </c>
    </row>
    <row r="97" spans="1:12" x14ac:dyDescent="0.25">
      <c r="A97" s="9" t="s">
        <v>492</v>
      </c>
      <c r="B97" s="9"/>
      <c r="C97" s="9" t="s">
        <v>1654</v>
      </c>
      <c r="D97" s="9"/>
      <c r="E97" s="9"/>
      <c r="F97" s="9"/>
      <c r="G97" s="9"/>
      <c r="H97" s="9"/>
      <c r="I97" s="9"/>
      <c r="J97" s="9"/>
      <c r="K97" s="9"/>
      <c r="L9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B5DF-8E5B-4C50-B176-9344C81F2BFC}">
  <sheetPr codeName="Sheet13">
    <tabColor theme="4" tint="0.59999389629810485"/>
  </sheetPr>
  <dimension ref="A1:L70"/>
  <sheetViews>
    <sheetView workbookViewId="0">
      <selection activeCell="B62" sqref="B62"/>
    </sheetView>
  </sheetViews>
  <sheetFormatPr defaultRowHeight="15" x14ac:dyDescent="0.25"/>
  <cols>
    <col min="1" max="1" width="35.140625" customWidth="1"/>
    <col min="2" max="2" width="0" hidden="1" customWidth="1"/>
    <col min="3" max="12" width="11.85546875" customWidth="1"/>
  </cols>
  <sheetData>
    <row r="1" spans="1:12" x14ac:dyDescent="0.25">
      <c r="A1" s="39"/>
      <c r="B1" s="39"/>
      <c r="C1" s="39"/>
      <c r="D1" s="39"/>
      <c r="E1" s="39"/>
      <c r="F1" s="39"/>
      <c r="G1" s="39"/>
      <c r="H1" s="39"/>
      <c r="I1" s="39"/>
      <c r="J1" s="39"/>
      <c r="K1" s="39"/>
      <c r="L1" s="39"/>
    </row>
    <row r="2" spans="1:12" ht="20.25" x14ac:dyDescent="0.25">
      <c r="A2" s="1" t="s">
        <v>1941</v>
      </c>
      <c r="B2" s="1"/>
      <c r="C2" s="1"/>
      <c r="D2" s="1"/>
      <c r="E2" s="1"/>
      <c r="F2" s="1"/>
      <c r="G2" s="1"/>
      <c r="H2" s="1"/>
      <c r="I2" s="1"/>
      <c r="J2" s="1"/>
      <c r="K2" s="1"/>
      <c r="L2" s="1"/>
    </row>
    <row r="3" spans="1:12" x14ac:dyDescent="0.25">
      <c r="A3" s="38"/>
      <c r="B3" s="38"/>
      <c r="C3" s="38"/>
      <c r="D3" s="38"/>
      <c r="E3" s="38"/>
      <c r="F3" s="38"/>
      <c r="G3" s="38"/>
      <c r="H3" s="38"/>
      <c r="I3" s="38"/>
      <c r="J3" s="38"/>
      <c r="K3" s="38"/>
      <c r="L3" s="38"/>
    </row>
    <row r="4" spans="1:12" x14ac:dyDescent="0.25">
      <c r="A4" s="3" t="s">
        <v>1800</v>
      </c>
      <c r="B4" s="3"/>
      <c r="C4" s="37" t="s">
        <v>1939</v>
      </c>
      <c r="D4" s="37" t="s">
        <v>1938</v>
      </c>
      <c r="E4" s="37" t="s">
        <v>1697</v>
      </c>
      <c r="F4" s="37" t="s">
        <v>1696</v>
      </c>
      <c r="G4" s="37" t="s">
        <v>1695</v>
      </c>
      <c r="H4" s="37" t="s">
        <v>1694</v>
      </c>
      <c r="I4" s="37" t="s">
        <v>1693</v>
      </c>
      <c r="J4" s="37" t="s">
        <v>1692</v>
      </c>
      <c r="K4" s="37" t="s">
        <v>1691</v>
      </c>
      <c r="L4" s="37" t="s">
        <v>1799</v>
      </c>
    </row>
    <row r="5" spans="1:12" x14ac:dyDescent="0.25">
      <c r="A5" s="4" t="s">
        <v>3</v>
      </c>
      <c r="B5" s="4"/>
      <c r="C5" s="36" t="s">
        <v>1936</v>
      </c>
      <c r="D5" s="36" t="s">
        <v>1935</v>
      </c>
      <c r="E5" s="36" t="s">
        <v>1687</v>
      </c>
      <c r="F5" s="36" t="s">
        <v>1686</v>
      </c>
      <c r="G5" s="36" t="s">
        <v>1685</v>
      </c>
      <c r="H5" s="36" t="s">
        <v>1684</v>
      </c>
      <c r="I5" s="36" t="s">
        <v>1683</v>
      </c>
      <c r="J5" s="36" t="s">
        <v>1682</v>
      </c>
      <c r="K5" s="36" t="s">
        <v>1681</v>
      </c>
      <c r="L5" s="36" t="s">
        <v>1681</v>
      </c>
    </row>
    <row r="6" spans="1:12" x14ac:dyDescent="0.25">
      <c r="A6" s="24" t="s">
        <v>1626</v>
      </c>
      <c r="B6" s="25"/>
      <c r="C6" s="25"/>
      <c r="D6" s="25"/>
      <c r="E6" s="25"/>
      <c r="F6" s="25"/>
      <c r="G6" s="25"/>
      <c r="H6" s="25"/>
      <c r="I6" s="25"/>
      <c r="J6" s="25"/>
      <c r="K6" s="25"/>
      <c r="L6" s="26"/>
    </row>
    <row r="7" spans="1:12" x14ac:dyDescent="0.25">
      <c r="A7" s="6" t="s">
        <v>2019</v>
      </c>
      <c r="B7" s="6" t="s">
        <v>390</v>
      </c>
      <c r="C7" s="34">
        <v>1020</v>
      </c>
      <c r="D7" s="34">
        <v>3553</v>
      </c>
      <c r="E7" s="34">
        <v>2083</v>
      </c>
      <c r="F7" s="34">
        <v>1599</v>
      </c>
      <c r="G7" s="34">
        <v>1994</v>
      </c>
      <c r="H7" s="34">
        <v>2358</v>
      </c>
      <c r="I7" s="34">
        <v>3165</v>
      </c>
      <c r="J7" s="34">
        <v>2993</v>
      </c>
      <c r="K7" s="34">
        <v>3246</v>
      </c>
      <c r="L7" s="35">
        <v>3246</v>
      </c>
    </row>
    <row r="8" spans="1:12" x14ac:dyDescent="0.25">
      <c r="A8" s="6" t="s">
        <v>2018</v>
      </c>
      <c r="B8" s="6" t="s">
        <v>168</v>
      </c>
      <c r="C8" s="34">
        <v>642</v>
      </c>
      <c r="D8" s="34">
        <v>723</v>
      </c>
      <c r="E8" s="34">
        <v>778</v>
      </c>
      <c r="F8" s="34">
        <v>812</v>
      </c>
      <c r="G8" s="34">
        <v>990</v>
      </c>
      <c r="H8" s="34">
        <v>998</v>
      </c>
      <c r="I8" s="34">
        <v>1028</v>
      </c>
      <c r="J8" s="34">
        <v>1050</v>
      </c>
      <c r="K8" s="34">
        <v>1193</v>
      </c>
      <c r="L8" s="35">
        <v>1193</v>
      </c>
    </row>
    <row r="9" spans="1:12" x14ac:dyDescent="0.25">
      <c r="A9" s="6" t="s">
        <v>2017</v>
      </c>
      <c r="B9" s="6" t="s">
        <v>2016</v>
      </c>
      <c r="C9" s="34">
        <v>90</v>
      </c>
      <c r="D9" s="34">
        <v>-1380</v>
      </c>
      <c r="E9" s="34">
        <v>399</v>
      </c>
      <c r="F9" s="34">
        <v>472</v>
      </c>
      <c r="G9" s="34">
        <v>520</v>
      </c>
      <c r="H9" s="34">
        <v>386</v>
      </c>
      <c r="I9" s="34">
        <v>-81</v>
      </c>
      <c r="J9" s="34">
        <v>576</v>
      </c>
      <c r="K9" s="34">
        <v>508</v>
      </c>
      <c r="L9" s="35">
        <v>508</v>
      </c>
    </row>
    <row r="10" spans="1:12" x14ac:dyDescent="0.25">
      <c r="A10" s="6" t="s">
        <v>2015</v>
      </c>
      <c r="B10" s="6" t="s">
        <v>1087</v>
      </c>
      <c r="C10" s="34">
        <v>113</v>
      </c>
      <c r="D10" s="34">
        <v>119</v>
      </c>
      <c r="E10" s="34">
        <v>127</v>
      </c>
      <c r="F10" s="34">
        <v>142</v>
      </c>
      <c r="G10" s="34">
        <v>171</v>
      </c>
      <c r="H10" s="34">
        <v>168</v>
      </c>
      <c r="I10" s="34">
        <v>205</v>
      </c>
      <c r="J10" s="34">
        <v>229</v>
      </c>
      <c r="K10" s="34">
        <v>243</v>
      </c>
      <c r="L10" s="35">
        <v>243</v>
      </c>
    </row>
    <row r="11" spans="1:12" x14ac:dyDescent="0.25">
      <c r="A11" s="6" t="s">
        <v>2014</v>
      </c>
      <c r="B11" s="6" t="s">
        <v>399</v>
      </c>
      <c r="C11" s="34">
        <v>36</v>
      </c>
      <c r="D11" s="34">
        <v>-1582</v>
      </c>
      <c r="E11" s="34">
        <v>126</v>
      </c>
      <c r="F11" s="34">
        <v>48</v>
      </c>
      <c r="G11" s="34">
        <v>-237</v>
      </c>
      <c r="H11" s="34">
        <v>58</v>
      </c>
      <c r="I11" s="34">
        <v>-206</v>
      </c>
      <c r="J11" s="34">
        <v>-370</v>
      </c>
      <c r="K11" s="34">
        <v>392</v>
      </c>
      <c r="L11" s="35">
        <v>392</v>
      </c>
    </row>
    <row r="12" spans="1:12" x14ac:dyDescent="0.25">
      <c r="A12" s="6" t="s">
        <v>2013</v>
      </c>
      <c r="B12" s="6" t="s">
        <v>2012</v>
      </c>
      <c r="C12" s="34">
        <v>-59</v>
      </c>
      <c r="D12" s="34">
        <v>83</v>
      </c>
      <c r="E12" s="34">
        <v>146</v>
      </c>
      <c r="F12" s="34">
        <v>282</v>
      </c>
      <c r="G12" s="34">
        <v>586</v>
      </c>
      <c r="H12" s="34">
        <v>160</v>
      </c>
      <c r="I12" s="34">
        <v>-80</v>
      </c>
      <c r="J12" s="34">
        <v>717</v>
      </c>
      <c r="K12" s="34">
        <v>-127</v>
      </c>
      <c r="L12" s="35">
        <v>-127</v>
      </c>
    </row>
    <row r="13" spans="1:12" x14ac:dyDescent="0.25">
      <c r="A13" s="6" t="s">
        <v>2011</v>
      </c>
      <c r="B13" s="6" t="s">
        <v>1082</v>
      </c>
      <c r="C13" s="34">
        <v>-193</v>
      </c>
      <c r="D13" s="34">
        <v>-286</v>
      </c>
      <c r="E13" s="34">
        <v>-1069</v>
      </c>
      <c r="F13" s="34">
        <v>394</v>
      </c>
      <c r="G13" s="34">
        <v>-241</v>
      </c>
      <c r="H13" s="34">
        <v>-1118</v>
      </c>
      <c r="I13" s="34">
        <v>-401</v>
      </c>
      <c r="J13" s="34">
        <v>-377</v>
      </c>
      <c r="K13" s="34">
        <v>97</v>
      </c>
      <c r="L13" s="35">
        <v>97</v>
      </c>
    </row>
    <row r="14" spans="1:12" x14ac:dyDescent="0.25">
      <c r="A14" s="6" t="s">
        <v>2010</v>
      </c>
      <c r="B14" s="6" t="s">
        <v>403</v>
      </c>
      <c r="C14" s="34">
        <v>-162</v>
      </c>
      <c r="D14" s="34">
        <v>-60</v>
      </c>
      <c r="E14" s="34">
        <v>-563</v>
      </c>
      <c r="F14" s="34">
        <v>354</v>
      </c>
      <c r="G14" s="34">
        <v>-377</v>
      </c>
      <c r="H14" s="34">
        <v>-579</v>
      </c>
      <c r="I14" s="34">
        <v>-175</v>
      </c>
      <c r="J14" s="34">
        <v>-321</v>
      </c>
      <c r="K14" s="34">
        <v>127</v>
      </c>
      <c r="L14" s="35">
        <v>127</v>
      </c>
    </row>
    <row r="15" spans="1:12" x14ac:dyDescent="0.25">
      <c r="A15" s="6" t="s">
        <v>2009</v>
      </c>
      <c r="B15" s="6" t="s">
        <v>406</v>
      </c>
      <c r="C15" s="34">
        <v>-320</v>
      </c>
      <c r="D15" s="34">
        <v>-385</v>
      </c>
      <c r="E15" s="34">
        <v>-400</v>
      </c>
      <c r="F15" s="34">
        <v>27</v>
      </c>
      <c r="G15" s="34">
        <v>-189</v>
      </c>
      <c r="H15" s="34">
        <v>-762</v>
      </c>
      <c r="I15" s="34">
        <v>-797</v>
      </c>
      <c r="J15" s="34">
        <v>-206</v>
      </c>
      <c r="K15" s="34">
        <v>-297</v>
      </c>
      <c r="L15" s="35">
        <v>-297</v>
      </c>
    </row>
    <row r="16" spans="1:12" x14ac:dyDescent="0.25">
      <c r="A16" s="6" t="s">
        <v>2008</v>
      </c>
      <c r="B16" s="6" t="s">
        <v>409</v>
      </c>
      <c r="C16" s="34">
        <v>21</v>
      </c>
      <c r="D16" s="34">
        <v>116</v>
      </c>
      <c r="E16" s="34">
        <v>63</v>
      </c>
      <c r="F16" s="34">
        <v>100</v>
      </c>
      <c r="G16" s="34">
        <v>329</v>
      </c>
      <c r="H16" s="34">
        <v>290</v>
      </c>
      <c r="I16" s="34">
        <v>77</v>
      </c>
      <c r="J16" s="34">
        <v>192</v>
      </c>
      <c r="K16" s="34">
        <v>94</v>
      </c>
      <c r="L16" s="35">
        <v>94</v>
      </c>
    </row>
    <row r="17" spans="1:12" x14ac:dyDescent="0.25">
      <c r="A17" s="6" t="s">
        <v>2007</v>
      </c>
      <c r="B17" s="6" t="s">
        <v>2006</v>
      </c>
      <c r="C17" s="34">
        <v>268</v>
      </c>
      <c r="D17" s="34">
        <v>43</v>
      </c>
      <c r="E17" s="34">
        <v>-169</v>
      </c>
      <c r="F17" s="34">
        <v>-87</v>
      </c>
      <c r="G17" s="34">
        <v>-4</v>
      </c>
      <c r="H17" s="34">
        <v>-67</v>
      </c>
      <c r="I17" s="34">
        <v>494</v>
      </c>
      <c r="J17" s="34">
        <v>-42</v>
      </c>
      <c r="K17" s="34">
        <v>173</v>
      </c>
      <c r="L17" s="35">
        <v>173</v>
      </c>
    </row>
    <row r="18" spans="1:12" x14ac:dyDescent="0.25">
      <c r="A18" s="6" t="s">
        <v>1963</v>
      </c>
      <c r="B18" s="6" t="s">
        <v>2005</v>
      </c>
      <c r="C18" s="34">
        <v>0</v>
      </c>
      <c r="D18" s="34">
        <v>0</v>
      </c>
      <c r="E18" s="34">
        <v>0</v>
      </c>
      <c r="F18" s="34">
        <v>0</v>
      </c>
      <c r="G18" s="34">
        <v>0</v>
      </c>
      <c r="H18" s="34">
        <v>0</v>
      </c>
      <c r="I18" s="34">
        <v>0</v>
      </c>
      <c r="J18" s="34">
        <v>0</v>
      </c>
      <c r="K18" s="34">
        <v>0</v>
      </c>
      <c r="L18" s="35">
        <v>0</v>
      </c>
    </row>
    <row r="19" spans="1:12" x14ac:dyDescent="0.25">
      <c r="A19" s="24" t="s">
        <v>1626</v>
      </c>
      <c r="B19" s="24" t="s">
        <v>1287</v>
      </c>
      <c r="C19" s="22">
        <v>1559</v>
      </c>
      <c r="D19" s="22">
        <v>2610</v>
      </c>
      <c r="E19" s="22">
        <v>2191</v>
      </c>
      <c r="F19" s="22">
        <v>3277</v>
      </c>
      <c r="G19" s="22">
        <v>3263</v>
      </c>
      <c r="H19" s="22">
        <v>2624</v>
      </c>
      <c r="I19" s="22">
        <v>3711</v>
      </c>
      <c r="J19" s="22">
        <v>4242</v>
      </c>
      <c r="K19" s="22">
        <v>5044</v>
      </c>
      <c r="L19" s="23">
        <v>5044</v>
      </c>
    </row>
    <row r="20" spans="1:12" x14ac:dyDescent="0.25">
      <c r="A20" s="24"/>
      <c r="B20" s="25"/>
      <c r="C20" s="25"/>
      <c r="D20" s="25"/>
      <c r="E20" s="25"/>
      <c r="F20" s="25"/>
      <c r="G20" s="25"/>
      <c r="H20" s="25"/>
      <c r="I20" s="25"/>
      <c r="J20" s="25"/>
      <c r="K20" s="25"/>
      <c r="L20" s="26"/>
    </row>
    <row r="21" spans="1:12" x14ac:dyDescent="0.25">
      <c r="A21" s="24" t="s">
        <v>1635</v>
      </c>
      <c r="B21" s="25"/>
      <c r="C21" s="25"/>
      <c r="D21" s="25"/>
      <c r="E21" s="25"/>
      <c r="F21" s="25"/>
      <c r="G21" s="25"/>
      <c r="H21" s="25"/>
      <c r="I21" s="25"/>
      <c r="J21" s="25"/>
      <c r="K21" s="25"/>
      <c r="L21" s="26"/>
    </row>
    <row r="22" spans="1:12" x14ac:dyDescent="0.25">
      <c r="A22" s="6" t="s">
        <v>2004</v>
      </c>
      <c r="B22" s="6" t="s">
        <v>2003</v>
      </c>
      <c r="C22" s="34">
        <v>-598</v>
      </c>
      <c r="D22" s="34">
        <v>-572</v>
      </c>
      <c r="E22" s="34">
        <v>-649</v>
      </c>
      <c r="F22" s="34">
        <v>-487</v>
      </c>
      <c r="G22" s="34">
        <v>-525</v>
      </c>
      <c r="H22" s="34">
        <v>-588</v>
      </c>
      <c r="I22" s="34">
        <v>-575</v>
      </c>
      <c r="J22" s="34">
        <v>-755</v>
      </c>
      <c r="K22" s="34">
        <v>-761</v>
      </c>
      <c r="L22" s="35">
        <v>-761</v>
      </c>
    </row>
    <row r="23" spans="1:12" x14ac:dyDescent="0.25">
      <c r="A23" s="6" t="s">
        <v>2002</v>
      </c>
      <c r="B23" s="6" t="s">
        <v>2001</v>
      </c>
      <c r="C23" s="34">
        <v>0</v>
      </c>
      <c r="D23" s="34">
        <v>0</v>
      </c>
      <c r="E23" s="34">
        <v>0</v>
      </c>
      <c r="F23" s="34">
        <v>0</v>
      </c>
      <c r="G23" s="34">
        <v>0</v>
      </c>
      <c r="H23" s="34">
        <v>0</v>
      </c>
      <c r="I23" s="34">
        <v>0</v>
      </c>
      <c r="J23" s="34">
        <v>0</v>
      </c>
      <c r="K23" s="34">
        <v>0</v>
      </c>
      <c r="L23" s="35">
        <v>0</v>
      </c>
    </row>
    <row r="24" spans="1:12" x14ac:dyDescent="0.25">
      <c r="A24" s="29" t="s">
        <v>2000</v>
      </c>
      <c r="B24" s="29" t="s">
        <v>526</v>
      </c>
      <c r="C24" s="32">
        <v>0</v>
      </c>
      <c r="D24" s="32">
        <v>0</v>
      </c>
      <c r="E24" s="32">
        <v>0</v>
      </c>
      <c r="F24" s="32">
        <v>0</v>
      </c>
      <c r="G24" s="32">
        <v>0</v>
      </c>
      <c r="H24" s="32">
        <v>0</v>
      </c>
      <c r="I24" s="32">
        <v>0</v>
      </c>
      <c r="J24" s="32">
        <v>0</v>
      </c>
      <c r="K24" s="32">
        <v>0</v>
      </c>
      <c r="L24" s="33">
        <v>0</v>
      </c>
    </row>
    <row r="25" spans="1:12" x14ac:dyDescent="0.25">
      <c r="A25" s="29" t="s">
        <v>1999</v>
      </c>
      <c r="B25" s="29" t="s">
        <v>1998</v>
      </c>
      <c r="C25" s="32">
        <v>0</v>
      </c>
      <c r="D25" s="32">
        <v>0</v>
      </c>
      <c r="E25" s="32">
        <v>0</v>
      </c>
      <c r="F25" s="32">
        <v>0</v>
      </c>
      <c r="G25" s="32">
        <v>0</v>
      </c>
      <c r="H25" s="32">
        <v>0</v>
      </c>
      <c r="I25" s="32">
        <v>0</v>
      </c>
      <c r="J25" s="32">
        <v>0</v>
      </c>
      <c r="K25" s="32">
        <v>0</v>
      </c>
      <c r="L25" s="33">
        <v>0</v>
      </c>
    </row>
    <row r="26" spans="1:12" x14ac:dyDescent="0.25">
      <c r="A26" s="6" t="s">
        <v>1997</v>
      </c>
      <c r="B26" s="6" t="s">
        <v>1996</v>
      </c>
      <c r="C26" s="34">
        <v>-598</v>
      </c>
      <c r="D26" s="34">
        <v>-572</v>
      </c>
      <c r="E26" s="34">
        <v>-649</v>
      </c>
      <c r="F26" s="34">
        <v>-487</v>
      </c>
      <c r="G26" s="34">
        <v>-525</v>
      </c>
      <c r="H26" s="34">
        <v>-588</v>
      </c>
      <c r="I26" s="34">
        <v>-575</v>
      </c>
      <c r="J26" s="34">
        <v>-755</v>
      </c>
      <c r="K26" s="34">
        <v>-761</v>
      </c>
      <c r="L26" s="35">
        <v>-761</v>
      </c>
    </row>
    <row r="27" spans="1:12" x14ac:dyDescent="0.25">
      <c r="A27" s="29" t="s">
        <v>1995</v>
      </c>
      <c r="B27" s="29" t="s">
        <v>1994</v>
      </c>
      <c r="C27" s="32">
        <v>-598</v>
      </c>
      <c r="D27" s="32">
        <v>-572</v>
      </c>
      <c r="E27" s="32">
        <v>-649</v>
      </c>
      <c r="F27" s="32">
        <v>-487</v>
      </c>
      <c r="G27" s="32">
        <v>-525</v>
      </c>
      <c r="H27" s="32">
        <v>-588</v>
      </c>
      <c r="I27" s="32">
        <v>-575</v>
      </c>
      <c r="J27" s="32">
        <v>-755</v>
      </c>
      <c r="K27" s="32">
        <v>-761</v>
      </c>
      <c r="L27" s="33">
        <v>-761</v>
      </c>
    </row>
    <row r="28" spans="1:12" x14ac:dyDescent="0.25">
      <c r="A28" s="29" t="s">
        <v>1993</v>
      </c>
      <c r="B28" s="29" t="s">
        <v>1992</v>
      </c>
      <c r="C28" s="32">
        <v>0</v>
      </c>
      <c r="D28" s="32">
        <v>0</v>
      </c>
      <c r="E28" s="32">
        <v>0</v>
      </c>
      <c r="F28" s="32">
        <v>0</v>
      </c>
      <c r="G28" s="32">
        <v>0</v>
      </c>
      <c r="H28" s="32">
        <v>0</v>
      </c>
      <c r="I28" s="32">
        <v>0</v>
      </c>
      <c r="J28" s="32">
        <v>0</v>
      </c>
      <c r="K28" s="32">
        <v>0</v>
      </c>
      <c r="L28" s="33">
        <v>0</v>
      </c>
    </row>
    <row r="29" spans="1:12" x14ac:dyDescent="0.25">
      <c r="A29" s="6" t="s">
        <v>1991</v>
      </c>
      <c r="B29" s="6" t="s">
        <v>1990</v>
      </c>
      <c r="C29" s="34">
        <v>0</v>
      </c>
      <c r="D29" s="34">
        <v>0</v>
      </c>
      <c r="E29" s="34">
        <v>0</v>
      </c>
      <c r="F29" s="34">
        <v>0</v>
      </c>
      <c r="G29" s="34">
        <v>0</v>
      </c>
      <c r="H29" s="34">
        <v>0</v>
      </c>
      <c r="I29" s="34">
        <v>0</v>
      </c>
      <c r="J29" s="34">
        <v>0</v>
      </c>
      <c r="K29" s="34">
        <v>0</v>
      </c>
      <c r="L29" s="35">
        <v>0</v>
      </c>
    </row>
    <row r="30" spans="1:12" x14ac:dyDescent="0.25">
      <c r="A30" s="6" t="s">
        <v>1989</v>
      </c>
      <c r="B30" s="6" t="s">
        <v>1988</v>
      </c>
      <c r="C30" s="34">
        <v>0</v>
      </c>
      <c r="D30" s="34">
        <v>0</v>
      </c>
      <c r="E30" s="34">
        <v>0</v>
      </c>
      <c r="F30" s="34">
        <v>0</v>
      </c>
      <c r="G30" s="34">
        <v>0</v>
      </c>
      <c r="H30" s="34">
        <v>0</v>
      </c>
      <c r="I30" s="34">
        <v>0</v>
      </c>
      <c r="J30" s="34">
        <v>0</v>
      </c>
      <c r="K30" s="34">
        <v>0</v>
      </c>
      <c r="L30" s="35">
        <v>0</v>
      </c>
    </row>
    <row r="31" spans="1:12" x14ac:dyDescent="0.25">
      <c r="A31" s="6" t="s">
        <v>1987</v>
      </c>
      <c r="B31" s="6" t="s">
        <v>1986</v>
      </c>
      <c r="C31" s="34">
        <v>0</v>
      </c>
      <c r="D31" s="34">
        <v>0</v>
      </c>
      <c r="E31" s="34">
        <v>0</v>
      </c>
      <c r="F31" s="34">
        <v>0</v>
      </c>
      <c r="G31" s="34">
        <v>0</v>
      </c>
      <c r="H31" s="34">
        <v>0</v>
      </c>
      <c r="I31" s="34">
        <v>0</v>
      </c>
      <c r="J31" s="34">
        <v>0</v>
      </c>
      <c r="K31" s="34">
        <v>0</v>
      </c>
      <c r="L31" s="35">
        <v>0</v>
      </c>
    </row>
    <row r="32" spans="1:12" x14ac:dyDescent="0.25">
      <c r="A32" s="6" t="s">
        <v>1985</v>
      </c>
      <c r="B32" s="6" t="s">
        <v>1984</v>
      </c>
      <c r="C32" s="34">
        <v>-831</v>
      </c>
      <c r="D32" s="34">
        <v>-2451</v>
      </c>
      <c r="E32" s="34">
        <v>-802</v>
      </c>
      <c r="F32" s="34">
        <v>-4222</v>
      </c>
      <c r="G32" s="34">
        <v>-339</v>
      </c>
      <c r="H32" s="34">
        <v>-2563</v>
      </c>
      <c r="I32" s="34">
        <v>-390</v>
      </c>
      <c r="J32" s="34">
        <v>-1628</v>
      </c>
      <c r="K32" s="34">
        <v>-4960</v>
      </c>
      <c r="L32" s="35">
        <v>-4960</v>
      </c>
    </row>
    <row r="33" spans="1:12" x14ac:dyDescent="0.25">
      <c r="A33" s="6" t="s">
        <v>1983</v>
      </c>
      <c r="B33" s="6" t="s">
        <v>1072</v>
      </c>
      <c r="C33" s="34">
        <v>0</v>
      </c>
      <c r="D33" s="34">
        <v>0</v>
      </c>
      <c r="E33" s="34">
        <v>0</v>
      </c>
      <c r="F33" s="34">
        <v>0</v>
      </c>
      <c r="G33" s="34">
        <v>0</v>
      </c>
      <c r="H33" s="34">
        <v>0</v>
      </c>
      <c r="I33" s="34">
        <v>0</v>
      </c>
      <c r="J33" s="34">
        <v>0</v>
      </c>
      <c r="K33" s="34">
        <v>0</v>
      </c>
      <c r="L33" s="35">
        <v>0</v>
      </c>
    </row>
    <row r="34" spans="1:12" x14ac:dyDescent="0.25">
      <c r="A34" s="6" t="s">
        <v>1982</v>
      </c>
      <c r="B34" s="6" t="s">
        <v>431</v>
      </c>
      <c r="C34" s="34">
        <v>-831</v>
      </c>
      <c r="D34" s="34">
        <v>-2451</v>
      </c>
      <c r="E34" s="34">
        <v>-802</v>
      </c>
      <c r="F34" s="34">
        <v>-4222</v>
      </c>
      <c r="G34" s="34">
        <v>-339</v>
      </c>
      <c r="H34" s="34">
        <v>-2563</v>
      </c>
      <c r="I34" s="34">
        <v>-390</v>
      </c>
      <c r="J34" s="34">
        <v>-1628</v>
      </c>
      <c r="K34" s="34">
        <v>-4960</v>
      </c>
      <c r="L34" s="35">
        <v>-4960</v>
      </c>
    </row>
    <row r="35" spans="1:12" x14ac:dyDescent="0.25">
      <c r="A35" s="6" t="s">
        <v>1981</v>
      </c>
      <c r="B35" s="6" t="s">
        <v>1980</v>
      </c>
      <c r="C35" s="34">
        <v>0</v>
      </c>
      <c r="D35" s="34">
        <v>0</v>
      </c>
      <c r="E35" s="34">
        <v>0</v>
      </c>
      <c r="F35" s="34">
        <v>0</v>
      </c>
      <c r="G35" s="34">
        <v>0</v>
      </c>
      <c r="H35" s="34">
        <v>0</v>
      </c>
      <c r="I35" s="34">
        <v>0</v>
      </c>
      <c r="J35" s="34">
        <v>0</v>
      </c>
      <c r="K35" s="34">
        <v>0</v>
      </c>
      <c r="L35" s="35">
        <v>0</v>
      </c>
    </row>
    <row r="36" spans="1:12" x14ac:dyDescent="0.25">
      <c r="A36" s="6" t="s">
        <v>1979</v>
      </c>
      <c r="B36" s="6" t="s">
        <v>1420</v>
      </c>
      <c r="C36" s="34">
        <v>-184</v>
      </c>
      <c r="D36" s="34">
        <v>166</v>
      </c>
      <c r="E36" s="34">
        <v>-4</v>
      </c>
      <c r="F36" s="34">
        <v>8</v>
      </c>
      <c r="G36" s="34">
        <v>5</v>
      </c>
      <c r="H36" s="34">
        <v>227</v>
      </c>
      <c r="I36" s="34">
        <v>3</v>
      </c>
      <c r="J36" s="34">
        <v>-617</v>
      </c>
      <c r="K36" s="34">
        <v>855</v>
      </c>
      <c r="L36" s="35">
        <v>855</v>
      </c>
    </row>
    <row r="37" spans="1:12" x14ac:dyDescent="0.25">
      <c r="A37" s="6" t="s">
        <v>1963</v>
      </c>
      <c r="B37" s="6" t="s">
        <v>1978</v>
      </c>
      <c r="C37" s="34">
        <v>0</v>
      </c>
      <c r="D37" s="34">
        <v>0</v>
      </c>
      <c r="E37" s="34">
        <v>0</v>
      </c>
      <c r="F37" s="34">
        <v>0</v>
      </c>
      <c r="G37" s="34">
        <v>0</v>
      </c>
      <c r="H37" s="34">
        <v>0</v>
      </c>
      <c r="I37" s="34">
        <v>0</v>
      </c>
      <c r="J37" s="34">
        <v>0</v>
      </c>
      <c r="K37" s="34">
        <v>0</v>
      </c>
      <c r="L37" s="35">
        <v>0</v>
      </c>
    </row>
    <row r="38" spans="1:12" x14ac:dyDescent="0.25">
      <c r="A38" s="24" t="s">
        <v>1635</v>
      </c>
      <c r="B38" s="24" t="s">
        <v>1418</v>
      </c>
      <c r="C38" s="22">
        <v>-1613</v>
      </c>
      <c r="D38" s="22">
        <v>-2857</v>
      </c>
      <c r="E38" s="22">
        <v>-1455</v>
      </c>
      <c r="F38" s="22">
        <v>-4701</v>
      </c>
      <c r="G38" s="22">
        <v>-859</v>
      </c>
      <c r="H38" s="22">
        <v>-2924</v>
      </c>
      <c r="I38" s="22">
        <v>-962</v>
      </c>
      <c r="J38" s="22">
        <v>-3000</v>
      </c>
      <c r="K38" s="22">
        <v>-4866</v>
      </c>
      <c r="L38" s="23">
        <v>-4866</v>
      </c>
    </row>
    <row r="39" spans="1:12" x14ac:dyDescent="0.25">
      <c r="A39" s="24"/>
      <c r="B39" s="25"/>
      <c r="C39" s="25"/>
      <c r="D39" s="25"/>
      <c r="E39" s="25"/>
      <c r="F39" s="25"/>
      <c r="G39" s="25"/>
      <c r="H39" s="25"/>
      <c r="I39" s="25"/>
      <c r="J39" s="25"/>
      <c r="K39" s="25"/>
      <c r="L39" s="26"/>
    </row>
    <row r="40" spans="1:12" x14ac:dyDescent="0.25">
      <c r="A40" s="24" t="s">
        <v>1640</v>
      </c>
      <c r="B40" s="25"/>
      <c r="C40" s="25"/>
      <c r="D40" s="25"/>
      <c r="E40" s="25"/>
      <c r="F40" s="25"/>
      <c r="G40" s="25"/>
      <c r="H40" s="25"/>
      <c r="I40" s="25"/>
      <c r="J40" s="25"/>
      <c r="K40" s="25"/>
      <c r="L40" s="26"/>
    </row>
    <row r="41" spans="1:12" x14ac:dyDescent="0.25">
      <c r="A41" s="6" t="s">
        <v>1977</v>
      </c>
      <c r="B41" s="6" t="s">
        <v>456</v>
      </c>
      <c r="C41" s="34">
        <v>-636</v>
      </c>
      <c r="D41" s="34">
        <v>-703</v>
      </c>
      <c r="E41" s="34">
        <v>-778</v>
      </c>
      <c r="F41" s="34">
        <v>-863</v>
      </c>
      <c r="G41" s="34">
        <v>-950</v>
      </c>
      <c r="H41" s="34">
        <v>-1051</v>
      </c>
      <c r="I41" s="34">
        <v>-1139</v>
      </c>
      <c r="J41" s="34">
        <v>-1219</v>
      </c>
      <c r="K41" s="34">
        <v>-1284</v>
      </c>
      <c r="L41" s="35">
        <v>-1284</v>
      </c>
    </row>
    <row r="42" spans="1:12" x14ac:dyDescent="0.25">
      <c r="A42" s="6" t="s">
        <v>1976</v>
      </c>
      <c r="B42" s="6" t="s">
        <v>1282</v>
      </c>
      <c r="C42" s="34">
        <v>299</v>
      </c>
      <c r="D42" s="34">
        <v>2456</v>
      </c>
      <c r="E42" s="34">
        <v>1293</v>
      </c>
      <c r="F42" s="34">
        <v>989</v>
      </c>
      <c r="G42" s="34">
        <v>-1153</v>
      </c>
      <c r="H42" s="34">
        <v>472</v>
      </c>
      <c r="I42" s="34">
        <v>-277</v>
      </c>
      <c r="J42" s="34">
        <v>940</v>
      </c>
      <c r="K42" s="34">
        <v>1579</v>
      </c>
      <c r="L42" s="35">
        <v>1580</v>
      </c>
    </row>
    <row r="43" spans="1:12" x14ac:dyDescent="0.25">
      <c r="A43" s="6" t="s">
        <v>1975</v>
      </c>
      <c r="B43" s="6" t="s">
        <v>1974</v>
      </c>
      <c r="C43" s="34">
        <v>-200</v>
      </c>
      <c r="D43" s="34">
        <v>-1</v>
      </c>
      <c r="E43" s="34">
        <v>-7</v>
      </c>
      <c r="F43" s="34">
        <v>-6</v>
      </c>
      <c r="G43" s="34">
        <v>-7</v>
      </c>
      <c r="H43" s="34">
        <v>-375</v>
      </c>
      <c r="I43" s="34">
        <v>540</v>
      </c>
      <c r="J43" s="34">
        <v>-32</v>
      </c>
      <c r="K43" s="34">
        <v>0</v>
      </c>
      <c r="L43" s="35"/>
    </row>
    <row r="44" spans="1:12" x14ac:dyDescent="0.25">
      <c r="A44" s="6" t="s">
        <v>1973</v>
      </c>
      <c r="B44" s="6" t="s">
        <v>1972</v>
      </c>
      <c r="C44" s="34">
        <v>499</v>
      </c>
      <c r="D44" s="34">
        <v>3126</v>
      </c>
      <c r="E44" s="34">
        <v>2642</v>
      </c>
      <c r="F44" s="34">
        <v>3292</v>
      </c>
      <c r="G44" s="34">
        <v>5</v>
      </c>
      <c r="H44" s="34">
        <v>1500</v>
      </c>
      <c r="I44" s="34">
        <v>1241</v>
      </c>
      <c r="J44" s="34">
        <v>3011</v>
      </c>
      <c r="K44" s="34">
        <v>2979</v>
      </c>
      <c r="L44" s="35">
        <v>2979</v>
      </c>
    </row>
    <row r="45" spans="1:12" x14ac:dyDescent="0.25">
      <c r="A45" s="6" t="s">
        <v>1971</v>
      </c>
      <c r="B45" s="6" t="s">
        <v>1970</v>
      </c>
      <c r="C45" s="34">
        <v>0</v>
      </c>
      <c r="D45" s="34">
        <v>-669</v>
      </c>
      <c r="E45" s="34">
        <v>-1342</v>
      </c>
      <c r="F45" s="34">
        <v>-2297</v>
      </c>
      <c r="G45" s="34">
        <v>-1151</v>
      </c>
      <c r="H45" s="34">
        <v>-653</v>
      </c>
      <c r="I45" s="34">
        <v>-2058</v>
      </c>
      <c r="J45" s="34">
        <v>-2039</v>
      </c>
      <c r="K45" s="34">
        <v>-1400</v>
      </c>
      <c r="L45" s="35">
        <v>-1400</v>
      </c>
    </row>
    <row r="46" spans="1:12" x14ac:dyDescent="0.25">
      <c r="A46" s="6" t="s">
        <v>1969</v>
      </c>
      <c r="B46" s="6" t="s">
        <v>1968</v>
      </c>
      <c r="C46" s="34">
        <v>-230</v>
      </c>
      <c r="D46" s="34">
        <v>-300</v>
      </c>
      <c r="E46" s="34">
        <v>-307</v>
      </c>
      <c r="F46" s="34">
        <v>0</v>
      </c>
      <c r="G46" s="34">
        <v>0</v>
      </c>
      <c r="H46" s="34">
        <v>0</v>
      </c>
      <c r="I46" s="34">
        <v>0</v>
      </c>
      <c r="J46" s="34">
        <v>0</v>
      </c>
      <c r="K46" s="34">
        <v>0</v>
      </c>
      <c r="L46" s="35">
        <v>0</v>
      </c>
    </row>
    <row r="47" spans="1:12" x14ac:dyDescent="0.25">
      <c r="A47" s="6" t="s">
        <v>1967</v>
      </c>
      <c r="B47" s="6" t="s">
        <v>1061</v>
      </c>
      <c r="C47" s="34">
        <v>0</v>
      </c>
      <c r="D47" s="34">
        <v>0</v>
      </c>
      <c r="E47" s="34">
        <v>0</v>
      </c>
      <c r="F47" s="34">
        <v>0</v>
      </c>
      <c r="G47" s="34">
        <v>0</v>
      </c>
      <c r="H47" s="34">
        <v>0</v>
      </c>
      <c r="I47" s="34">
        <v>0</v>
      </c>
      <c r="J47" s="34">
        <v>0</v>
      </c>
      <c r="K47" s="34">
        <v>0</v>
      </c>
      <c r="L47" s="35">
        <v>0</v>
      </c>
    </row>
    <row r="48" spans="1:12" x14ac:dyDescent="0.25">
      <c r="A48" s="6" t="s">
        <v>1966</v>
      </c>
      <c r="B48" s="6" t="s">
        <v>505</v>
      </c>
      <c r="C48" s="34">
        <v>-230</v>
      </c>
      <c r="D48" s="34">
        <v>-300</v>
      </c>
      <c r="E48" s="34">
        <v>-307</v>
      </c>
      <c r="F48" s="34">
        <v>0</v>
      </c>
      <c r="G48" s="34">
        <v>0</v>
      </c>
      <c r="H48" s="34">
        <v>0</v>
      </c>
      <c r="I48" s="34">
        <v>0</v>
      </c>
      <c r="J48" s="34">
        <v>0</v>
      </c>
      <c r="K48" s="34">
        <v>0</v>
      </c>
      <c r="L48" s="35">
        <v>0</v>
      </c>
    </row>
    <row r="49" spans="1:12" x14ac:dyDescent="0.25">
      <c r="A49" s="6" t="s">
        <v>1965</v>
      </c>
      <c r="B49" s="6" t="s">
        <v>1964</v>
      </c>
      <c r="C49" s="34">
        <v>-227</v>
      </c>
      <c r="D49" s="34">
        <v>-124</v>
      </c>
      <c r="E49" s="34">
        <v>-205</v>
      </c>
      <c r="F49" s="34">
        <v>-137</v>
      </c>
      <c r="G49" s="34">
        <v>-262</v>
      </c>
      <c r="H49" s="34">
        <v>-170</v>
      </c>
      <c r="I49" s="34">
        <v>-178</v>
      </c>
      <c r="J49" s="34">
        <v>-246</v>
      </c>
      <c r="K49" s="34">
        <v>-182</v>
      </c>
      <c r="L49" s="35">
        <v>-183</v>
      </c>
    </row>
    <row r="50" spans="1:12" x14ac:dyDescent="0.25">
      <c r="A50" s="6" t="s">
        <v>1963</v>
      </c>
      <c r="B50" s="6" t="s">
        <v>1962</v>
      </c>
      <c r="C50" s="34">
        <v>0</v>
      </c>
      <c r="D50" s="34">
        <v>0</v>
      </c>
      <c r="E50" s="34">
        <v>0</v>
      </c>
      <c r="F50" s="34">
        <v>0</v>
      </c>
      <c r="G50" s="34">
        <v>0</v>
      </c>
      <c r="H50" s="34">
        <v>0</v>
      </c>
      <c r="I50" s="34">
        <v>0</v>
      </c>
      <c r="J50" s="34">
        <v>0</v>
      </c>
      <c r="K50" s="34">
        <v>0</v>
      </c>
      <c r="L50" s="35">
        <v>0</v>
      </c>
    </row>
    <row r="51" spans="1:12" x14ac:dyDescent="0.25">
      <c r="A51" s="24" t="s">
        <v>1640</v>
      </c>
      <c r="B51" s="24" t="s">
        <v>1961</v>
      </c>
      <c r="C51" s="22">
        <v>-794</v>
      </c>
      <c r="D51" s="22">
        <v>1329</v>
      </c>
      <c r="E51" s="22">
        <v>3</v>
      </c>
      <c r="F51" s="22">
        <v>-11</v>
      </c>
      <c r="G51" s="22">
        <v>-2365</v>
      </c>
      <c r="H51" s="22">
        <v>-749</v>
      </c>
      <c r="I51" s="22">
        <v>-1594</v>
      </c>
      <c r="J51" s="22">
        <v>-525</v>
      </c>
      <c r="K51" s="22">
        <v>113</v>
      </c>
      <c r="L51" s="23">
        <v>113</v>
      </c>
    </row>
    <row r="52" spans="1:12" x14ac:dyDescent="0.25">
      <c r="A52" s="24"/>
      <c r="B52" s="25"/>
      <c r="C52" s="25"/>
      <c r="D52" s="25"/>
      <c r="E52" s="25"/>
      <c r="F52" s="25"/>
      <c r="G52" s="25"/>
      <c r="H52" s="25"/>
      <c r="I52" s="25"/>
      <c r="J52" s="25"/>
      <c r="K52" s="25"/>
      <c r="L52" s="26"/>
    </row>
    <row r="53" spans="1:12" x14ac:dyDescent="0.25">
      <c r="A53" s="6" t="s">
        <v>1960</v>
      </c>
      <c r="B53" s="6" t="s">
        <v>490</v>
      </c>
      <c r="C53" s="34">
        <v>74</v>
      </c>
      <c r="D53" s="34">
        <v>-8</v>
      </c>
      <c r="E53" s="34">
        <v>-18</v>
      </c>
      <c r="F53" s="34">
        <v>41</v>
      </c>
      <c r="G53" s="34">
        <v>-38</v>
      </c>
      <c r="H53" s="34">
        <v>-51</v>
      </c>
      <c r="I53" s="34">
        <v>-28</v>
      </c>
      <c r="J53" s="34">
        <v>-36</v>
      </c>
      <c r="K53" s="34">
        <v>68</v>
      </c>
      <c r="L53" s="35">
        <v>68</v>
      </c>
    </row>
    <row r="54" spans="1:12" x14ac:dyDescent="0.25">
      <c r="A54" s="24"/>
      <c r="B54" s="25"/>
      <c r="C54" s="25"/>
      <c r="D54" s="25"/>
      <c r="E54" s="25"/>
      <c r="F54" s="25"/>
      <c r="G54" s="25"/>
      <c r="H54" s="25"/>
      <c r="I54" s="25"/>
      <c r="J54" s="25"/>
      <c r="K54" s="25"/>
      <c r="L54" s="26"/>
    </row>
    <row r="55" spans="1:12" x14ac:dyDescent="0.25">
      <c r="A55" s="24" t="s">
        <v>1959</v>
      </c>
      <c r="B55" s="24" t="s">
        <v>471</v>
      </c>
      <c r="C55" s="22">
        <v>-774</v>
      </c>
      <c r="D55" s="22">
        <v>1074</v>
      </c>
      <c r="E55" s="22">
        <v>721</v>
      </c>
      <c r="F55" s="22">
        <v>-1394</v>
      </c>
      <c r="G55" s="22">
        <v>1</v>
      </c>
      <c r="H55" s="22">
        <v>-1100</v>
      </c>
      <c r="I55" s="22">
        <v>1127</v>
      </c>
      <c r="J55" s="22">
        <v>681</v>
      </c>
      <c r="K55" s="22">
        <v>359</v>
      </c>
      <c r="L55" s="23">
        <v>359</v>
      </c>
    </row>
    <row r="56" spans="1:12" x14ac:dyDescent="0.25">
      <c r="A56" s="24"/>
      <c r="B56" s="25"/>
      <c r="C56" s="25"/>
      <c r="D56" s="25"/>
      <c r="E56" s="25"/>
      <c r="F56" s="25"/>
      <c r="G56" s="25"/>
      <c r="H56" s="25"/>
      <c r="I56" s="25"/>
      <c r="J56" s="25"/>
      <c r="K56" s="25"/>
      <c r="L56" s="26"/>
    </row>
    <row r="57" spans="1:12" x14ac:dyDescent="0.25">
      <c r="A57" s="24" t="s">
        <v>1958</v>
      </c>
      <c r="B57" s="24" t="s">
        <v>1957</v>
      </c>
      <c r="C57" s="22">
        <v>312</v>
      </c>
      <c r="D57" s="22">
        <v>539</v>
      </c>
      <c r="E57" s="22">
        <v>286</v>
      </c>
      <c r="F57" s="22">
        <v>304</v>
      </c>
      <c r="G57" s="22">
        <v>325</v>
      </c>
      <c r="H57" s="22">
        <v>324</v>
      </c>
      <c r="I57" s="22">
        <v>693</v>
      </c>
      <c r="J57" s="22">
        <v>989</v>
      </c>
      <c r="K57" s="22">
        <v>1002</v>
      </c>
      <c r="L57" s="23"/>
    </row>
    <row r="58" spans="1:12" x14ac:dyDescent="0.25">
      <c r="A58" s="24" t="s">
        <v>1956</v>
      </c>
      <c r="B58" s="24" t="s">
        <v>1955</v>
      </c>
      <c r="C58" s="22">
        <v>231</v>
      </c>
      <c r="D58" s="22">
        <v>248</v>
      </c>
      <c r="E58" s="22">
        <v>457</v>
      </c>
      <c r="F58" s="22">
        <v>323</v>
      </c>
      <c r="G58" s="22">
        <v>622</v>
      </c>
      <c r="H58" s="22">
        <v>505</v>
      </c>
      <c r="I58" s="22">
        <v>356</v>
      </c>
      <c r="J58" s="22">
        <v>396</v>
      </c>
      <c r="K58" s="22">
        <v>582</v>
      </c>
      <c r="L58" s="23"/>
    </row>
    <row r="59" spans="1:12" x14ac:dyDescent="0.25">
      <c r="A59" s="24"/>
      <c r="B59" s="25"/>
      <c r="C59" s="25"/>
      <c r="D59" s="25"/>
      <c r="E59" s="25"/>
      <c r="F59" s="25"/>
      <c r="G59" s="25"/>
      <c r="H59" s="25"/>
      <c r="I59" s="25"/>
      <c r="J59" s="25"/>
      <c r="K59" s="25"/>
      <c r="L59" s="26"/>
    </row>
    <row r="60" spans="1:12" x14ac:dyDescent="0.25">
      <c r="A60" s="24" t="s">
        <v>1722</v>
      </c>
      <c r="B60" s="25"/>
      <c r="C60" s="25"/>
      <c r="D60" s="25"/>
      <c r="E60" s="25"/>
      <c r="F60" s="25"/>
      <c r="G60" s="25"/>
      <c r="H60" s="25"/>
      <c r="I60" s="25"/>
      <c r="J60" s="25"/>
      <c r="K60" s="25"/>
      <c r="L60" s="26"/>
    </row>
    <row r="61" spans="1:12" x14ac:dyDescent="0.25">
      <c r="A61" s="6" t="s">
        <v>1135</v>
      </c>
      <c r="B61" s="6" t="s">
        <v>1135</v>
      </c>
      <c r="C61" s="34">
        <v>2939</v>
      </c>
      <c r="D61" s="34">
        <v>3260</v>
      </c>
      <c r="E61" s="34">
        <v>3624</v>
      </c>
      <c r="F61" s="34">
        <v>3165</v>
      </c>
      <c r="G61" s="34">
        <v>3707</v>
      </c>
      <c r="H61" s="34">
        <v>3988</v>
      </c>
      <c r="I61" s="34">
        <v>5088</v>
      </c>
      <c r="J61" s="34">
        <v>4929</v>
      </c>
      <c r="K61" s="34">
        <v>6287</v>
      </c>
      <c r="L61" s="35">
        <v>6287</v>
      </c>
    </row>
    <row r="62" spans="1:12" x14ac:dyDescent="0.25">
      <c r="A62" s="6" t="s">
        <v>1954</v>
      </c>
      <c r="B62" s="6" t="s">
        <v>1717</v>
      </c>
      <c r="C62" s="8">
        <v>23.617799999999999</v>
      </c>
      <c r="D62" s="8">
        <v>23.968800000000002</v>
      </c>
      <c r="E62" s="8">
        <v>24.348299999999998</v>
      </c>
      <c r="F62" s="8">
        <v>22.054200000000002</v>
      </c>
      <c r="G62" s="8">
        <v>21.668199999999999</v>
      </c>
      <c r="H62" s="8">
        <v>21.616299999999999</v>
      </c>
      <c r="I62" s="8">
        <v>24.821899999999999</v>
      </c>
      <c r="J62" s="8">
        <v>21.814599999999999</v>
      </c>
      <c r="K62" s="8">
        <v>25.0319</v>
      </c>
      <c r="L62" s="40">
        <v>25.031852205765201</v>
      </c>
    </row>
    <row r="63" spans="1:12" x14ac:dyDescent="0.25">
      <c r="A63" s="6" t="s">
        <v>1953</v>
      </c>
      <c r="B63" s="6" t="s">
        <v>1952</v>
      </c>
      <c r="C63" s="34">
        <v>831</v>
      </c>
      <c r="D63" s="34">
        <v>2451</v>
      </c>
      <c r="E63" s="34">
        <v>802</v>
      </c>
      <c r="F63" s="34">
        <v>4222</v>
      </c>
      <c r="G63" s="34">
        <v>339</v>
      </c>
      <c r="H63" s="34">
        <v>2563</v>
      </c>
      <c r="I63" s="34">
        <v>390</v>
      </c>
      <c r="J63" s="34">
        <v>1628</v>
      </c>
      <c r="K63" s="34">
        <v>4960</v>
      </c>
      <c r="L63" s="35">
        <v>4960</v>
      </c>
    </row>
    <row r="64" spans="1:12" x14ac:dyDescent="0.25">
      <c r="A64" s="6" t="s">
        <v>1529</v>
      </c>
      <c r="B64" s="6" t="s">
        <v>59</v>
      </c>
      <c r="C64" s="34">
        <v>961</v>
      </c>
      <c r="D64" s="34">
        <v>2038</v>
      </c>
      <c r="E64" s="34">
        <v>1542</v>
      </c>
      <c r="F64" s="34">
        <v>2790</v>
      </c>
      <c r="G64" s="34">
        <v>2738</v>
      </c>
      <c r="H64" s="34">
        <v>2036</v>
      </c>
      <c r="I64" s="34">
        <v>3136</v>
      </c>
      <c r="J64" s="34">
        <v>3487</v>
      </c>
      <c r="K64" s="34">
        <v>4283</v>
      </c>
      <c r="L64" s="35">
        <v>4283</v>
      </c>
    </row>
    <row r="65" spans="1:12" x14ac:dyDescent="0.25">
      <c r="A65" s="6" t="s">
        <v>1951</v>
      </c>
      <c r="B65" s="6" t="s">
        <v>1950</v>
      </c>
      <c r="C65" s="34">
        <v>1083.1231</v>
      </c>
      <c r="D65" s="34" t="s">
        <v>1702</v>
      </c>
      <c r="E65" s="34">
        <v>1775.3415</v>
      </c>
      <c r="F65" s="34">
        <v>3047.7712000000001</v>
      </c>
      <c r="G65" s="34">
        <v>3032.598</v>
      </c>
      <c r="H65" s="34">
        <v>2332.1781999999998</v>
      </c>
      <c r="I65" s="34">
        <v>3442.7629000000002</v>
      </c>
      <c r="J65" s="34">
        <v>3826.4124000000002</v>
      </c>
      <c r="K65" s="34">
        <v>4701.5140000000001</v>
      </c>
      <c r="L65" s="35"/>
    </row>
    <row r="66" spans="1:12" x14ac:dyDescent="0.25">
      <c r="A66" s="6" t="s">
        <v>1949</v>
      </c>
      <c r="B66" s="6" t="s">
        <v>1948</v>
      </c>
      <c r="C66" s="34">
        <v>1260</v>
      </c>
      <c r="D66" s="34">
        <v>4494</v>
      </c>
      <c r="E66" s="34">
        <v>2835</v>
      </c>
      <c r="F66" s="34">
        <v>3779</v>
      </c>
      <c r="G66" s="34">
        <v>1585</v>
      </c>
      <c r="H66" s="34">
        <v>2508</v>
      </c>
      <c r="I66" s="34">
        <v>2859</v>
      </c>
      <c r="J66" s="34">
        <v>4427</v>
      </c>
      <c r="K66" s="34">
        <v>5862</v>
      </c>
      <c r="L66" s="35">
        <v>5863</v>
      </c>
    </row>
    <row r="67" spans="1:12" x14ac:dyDescent="0.25">
      <c r="A67" s="6" t="s">
        <v>1947</v>
      </c>
      <c r="B67" s="6" t="s">
        <v>1946</v>
      </c>
      <c r="C67" s="8">
        <v>2.5695000000000001</v>
      </c>
      <c r="D67" s="8">
        <v>5.4477000000000002</v>
      </c>
      <c r="E67" s="8">
        <v>4.1230000000000002</v>
      </c>
      <c r="F67" s="8">
        <v>7.4301000000000004</v>
      </c>
      <c r="G67" s="8">
        <v>7.2625999999999999</v>
      </c>
      <c r="H67" s="8">
        <v>5.3834</v>
      </c>
      <c r="I67" s="8">
        <v>8.2613000000000003</v>
      </c>
      <c r="J67" s="8">
        <v>9.1522000000000006</v>
      </c>
      <c r="K67" s="8">
        <v>11.206200000000001</v>
      </c>
      <c r="L67" s="40">
        <v>11.200910875975801</v>
      </c>
    </row>
    <row r="68" spans="1:12" x14ac:dyDescent="0.25">
      <c r="A68" s="6" t="s">
        <v>1945</v>
      </c>
      <c r="B68" s="6" t="s">
        <v>1944</v>
      </c>
      <c r="C68" s="8">
        <v>60.260300000000001</v>
      </c>
      <c r="D68" s="8">
        <v>28.773399999999999</v>
      </c>
      <c r="E68" s="8">
        <v>50.9193</v>
      </c>
      <c r="F68" s="8">
        <v>32.979399999999998</v>
      </c>
      <c r="G68" s="8">
        <v>36.8215</v>
      </c>
      <c r="H68" s="8">
        <v>45.415599999999998</v>
      </c>
      <c r="I68" s="8">
        <v>36.248399999999997</v>
      </c>
      <c r="J68" s="8">
        <v>39.3401</v>
      </c>
      <c r="K68" s="8">
        <v>31.364000000000001</v>
      </c>
      <c r="L68" s="40">
        <v>30.710894323083998</v>
      </c>
    </row>
    <row r="69" spans="1:12" x14ac:dyDescent="0.25">
      <c r="A69" s="6" t="s">
        <v>1943</v>
      </c>
      <c r="B69" s="6" t="s">
        <v>1942</v>
      </c>
      <c r="C69" s="8">
        <v>1.5284</v>
      </c>
      <c r="D69" s="8">
        <v>0.73460000000000003</v>
      </c>
      <c r="E69" s="8">
        <v>1.0518000000000001</v>
      </c>
      <c r="F69" s="8">
        <v>2.0493999999999999</v>
      </c>
      <c r="G69" s="8">
        <v>1.6364000000000001</v>
      </c>
      <c r="H69" s="8">
        <v>1.1128</v>
      </c>
      <c r="I69" s="8">
        <v>1.1725000000000001</v>
      </c>
      <c r="J69" s="8">
        <v>1.4173</v>
      </c>
      <c r="K69" s="8">
        <v>1.5539000000000001</v>
      </c>
      <c r="L69" s="40">
        <v>2.52414605418139</v>
      </c>
    </row>
    <row r="70" spans="1:12" x14ac:dyDescent="0.25">
      <c r="A70" s="9" t="s">
        <v>492</v>
      </c>
      <c r="B70" s="9"/>
      <c r="C70" s="9" t="s">
        <v>1654</v>
      </c>
      <c r="D70" s="9"/>
      <c r="E70" s="9"/>
      <c r="F70" s="9"/>
      <c r="G70" s="9"/>
      <c r="H70" s="9"/>
      <c r="I70" s="9"/>
      <c r="J70" s="9"/>
      <c r="K70" s="9"/>
      <c r="L70"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4C4C-C22C-48C6-932C-B6200403C7DC}">
  <sheetPr codeName="Sheet14">
    <tabColor theme="4" tint="0.59999389629810485"/>
  </sheetPr>
  <dimension ref="A1:L26"/>
  <sheetViews>
    <sheetView workbookViewId="0">
      <selection activeCell="A7" sqref="A7"/>
    </sheetView>
  </sheetViews>
  <sheetFormatPr defaultRowHeight="15" x14ac:dyDescent="0.25"/>
  <cols>
    <col min="1" max="1" width="35.140625" customWidth="1"/>
    <col min="2" max="2" width="0" hidden="1" customWidth="1"/>
    <col min="3" max="5" width="11.85546875" customWidth="1"/>
    <col min="6" max="6" width="10.140625" bestFit="1" customWidth="1"/>
    <col min="7" max="12" width="11.85546875" customWidth="1"/>
  </cols>
  <sheetData>
    <row r="1" spans="1:12" x14ac:dyDescent="0.25">
      <c r="A1" s="39"/>
      <c r="B1" s="39"/>
      <c r="C1" s="39"/>
      <c r="D1" s="39"/>
      <c r="E1" s="39"/>
      <c r="F1" s="39"/>
      <c r="G1" s="39"/>
      <c r="H1" s="39"/>
      <c r="I1" s="39"/>
      <c r="J1" s="39"/>
      <c r="K1" s="39"/>
      <c r="L1" s="39"/>
    </row>
    <row r="2" spans="1:12" ht="20.25" x14ac:dyDescent="0.25">
      <c r="A2" s="1" t="s">
        <v>2043</v>
      </c>
      <c r="B2" s="1"/>
      <c r="C2" s="1"/>
      <c r="D2" s="1"/>
      <c r="E2" s="1"/>
      <c r="F2" s="1"/>
      <c r="G2" s="1"/>
      <c r="H2" s="1"/>
      <c r="I2" s="1"/>
      <c r="J2" s="1"/>
      <c r="K2" s="1"/>
      <c r="L2" s="1"/>
    </row>
    <row r="3" spans="1:12" x14ac:dyDescent="0.25">
      <c r="A3" s="38"/>
      <c r="B3" s="38"/>
      <c r="C3" s="38"/>
      <c r="D3" s="38"/>
      <c r="E3" s="38"/>
      <c r="F3" s="38"/>
      <c r="G3" s="38"/>
      <c r="H3" s="38"/>
      <c r="I3" s="38"/>
      <c r="J3" s="38"/>
      <c r="K3" s="38"/>
      <c r="L3" s="38"/>
    </row>
    <row r="4" spans="1:12" x14ac:dyDescent="0.25">
      <c r="A4" s="3" t="s">
        <v>1800</v>
      </c>
      <c r="B4" s="3"/>
      <c r="C4" s="37" t="s">
        <v>1940</v>
      </c>
      <c r="D4" s="37" t="s">
        <v>1939</v>
      </c>
      <c r="E4" s="37" t="s">
        <v>1938</v>
      </c>
      <c r="F4" s="37" t="s">
        <v>1697</v>
      </c>
      <c r="G4" s="37" t="s">
        <v>1696</v>
      </c>
      <c r="H4" s="37" t="s">
        <v>1695</v>
      </c>
      <c r="I4" s="37" t="s">
        <v>1694</v>
      </c>
      <c r="J4" s="37" t="s">
        <v>1693</v>
      </c>
      <c r="K4" s="37" t="s">
        <v>1692</v>
      </c>
      <c r="L4" s="37" t="s">
        <v>1691</v>
      </c>
    </row>
    <row r="5" spans="1:12" x14ac:dyDescent="0.25">
      <c r="A5" s="4" t="s">
        <v>3</v>
      </c>
      <c r="B5" s="4"/>
      <c r="C5" s="36" t="s">
        <v>1937</v>
      </c>
      <c r="D5" s="36" t="s">
        <v>1936</v>
      </c>
      <c r="E5" s="36" t="s">
        <v>1935</v>
      </c>
      <c r="F5" s="36" t="s">
        <v>1687</v>
      </c>
      <c r="G5" s="36" t="s">
        <v>1686</v>
      </c>
      <c r="H5" s="36" t="s">
        <v>1685</v>
      </c>
      <c r="I5" s="36" t="s">
        <v>1684</v>
      </c>
      <c r="J5" s="36" t="s">
        <v>1683</v>
      </c>
      <c r="K5" s="36" t="s">
        <v>1682</v>
      </c>
      <c r="L5" s="36" t="s">
        <v>1681</v>
      </c>
    </row>
    <row r="6" spans="1:12" x14ac:dyDescent="0.25">
      <c r="A6" s="24" t="s">
        <v>2042</v>
      </c>
      <c r="B6" s="25"/>
      <c r="C6" s="25"/>
      <c r="D6" s="25"/>
      <c r="E6" s="25"/>
      <c r="F6" s="25"/>
      <c r="G6" s="25"/>
      <c r="H6" s="25"/>
      <c r="I6" s="25"/>
      <c r="J6" s="25"/>
      <c r="K6" s="25"/>
      <c r="L6" s="25"/>
    </row>
    <row r="7" spans="1:12" x14ac:dyDescent="0.25">
      <c r="A7" s="6" t="s">
        <v>2041</v>
      </c>
      <c r="B7" s="6" t="s">
        <v>381</v>
      </c>
      <c r="C7" s="8">
        <v>18.238199999999999</v>
      </c>
      <c r="D7" s="8">
        <v>10.452999999999999</v>
      </c>
      <c r="E7" s="8">
        <v>32.752600000000001</v>
      </c>
      <c r="F7" s="8">
        <v>16.978400000000001</v>
      </c>
      <c r="G7" s="8">
        <v>12.351800000000001</v>
      </c>
      <c r="H7" s="8">
        <v>14.262700000000001</v>
      </c>
      <c r="I7" s="8">
        <v>14.9748</v>
      </c>
      <c r="J7" s="8">
        <v>17.978400000000001</v>
      </c>
      <c r="K7" s="8">
        <v>15.2599</v>
      </c>
      <c r="L7" s="8">
        <v>15.0787</v>
      </c>
    </row>
    <row r="8" spans="1:12" x14ac:dyDescent="0.25">
      <c r="A8" s="6" t="s">
        <v>2040</v>
      </c>
      <c r="B8" s="6" t="s">
        <v>378</v>
      </c>
      <c r="C8" s="8">
        <v>8.9857999999999993</v>
      </c>
      <c r="D8" s="8">
        <v>4.7850999999999999</v>
      </c>
      <c r="E8" s="8">
        <v>14.377000000000001</v>
      </c>
      <c r="F8" s="8">
        <v>7.2583000000000002</v>
      </c>
      <c r="G8" s="8">
        <v>4.9584000000000001</v>
      </c>
      <c r="H8" s="8">
        <v>5.7830000000000004</v>
      </c>
      <c r="I8" s="8">
        <v>6.5944000000000003</v>
      </c>
      <c r="J8" s="8">
        <v>8.2425999999999995</v>
      </c>
      <c r="K8" s="8">
        <v>7.2222</v>
      </c>
      <c r="L8" s="8">
        <v>7.1486000000000001</v>
      </c>
    </row>
    <row r="9" spans="1:12" x14ac:dyDescent="0.25">
      <c r="A9" s="6" t="s">
        <v>2039</v>
      </c>
      <c r="B9" s="6" t="s">
        <v>2038</v>
      </c>
      <c r="C9" s="8">
        <v>12.7186</v>
      </c>
      <c r="D9" s="8">
        <v>6.7850000000000001</v>
      </c>
      <c r="E9" s="8">
        <v>19.393999999999998</v>
      </c>
      <c r="F9" s="8">
        <v>10.0989</v>
      </c>
      <c r="G9" s="8">
        <v>7.17</v>
      </c>
      <c r="H9" s="8">
        <v>8.2789999999999999</v>
      </c>
      <c r="I9" s="8">
        <v>9.1649999999999991</v>
      </c>
      <c r="J9" s="8">
        <v>11.157999999999999</v>
      </c>
      <c r="K9" s="8">
        <v>9.9711999999999996</v>
      </c>
      <c r="L9" s="8">
        <v>9.9669000000000008</v>
      </c>
    </row>
    <row r="10" spans="1:12" x14ac:dyDescent="0.25">
      <c r="A10" s="6" t="s">
        <v>2037</v>
      </c>
      <c r="B10" s="6" t="s">
        <v>2036</v>
      </c>
      <c r="C10" s="8">
        <v>13.111499999999999</v>
      </c>
      <c r="D10" s="8">
        <v>6.8258999999999999</v>
      </c>
      <c r="E10" s="8">
        <v>19.836600000000001</v>
      </c>
      <c r="F10" s="8">
        <v>10.234</v>
      </c>
      <c r="G10" s="8">
        <v>7.3768000000000002</v>
      </c>
      <c r="H10" s="8">
        <v>8.5510999999999999</v>
      </c>
      <c r="I10" s="8">
        <v>8.9778000000000002</v>
      </c>
      <c r="J10" s="8">
        <v>11.112399999999999</v>
      </c>
      <c r="K10" s="8">
        <v>9.7500999999999998</v>
      </c>
      <c r="L10" s="8">
        <v>9.7309000000000001</v>
      </c>
    </row>
    <row r="11" spans="1:12" x14ac:dyDescent="0.25">
      <c r="A11" s="6"/>
      <c r="B11" s="41"/>
      <c r="C11" s="41"/>
      <c r="D11" s="41"/>
      <c r="E11" s="41"/>
      <c r="F11" s="41"/>
      <c r="G11" s="41"/>
      <c r="H11" s="41"/>
      <c r="I11" s="41"/>
      <c r="J11" s="41"/>
      <c r="K11" s="41"/>
      <c r="L11" s="41"/>
    </row>
    <row r="12" spans="1:12" x14ac:dyDescent="0.25">
      <c r="A12" s="24" t="s">
        <v>2035</v>
      </c>
      <c r="B12" s="25"/>
      <c r="C12" s="25"/>
      <c r="D12" s="25"/>
      <c r="E12" s="25"/>
      <c r="F12" s="25"/>
      <c r="G12" s="25"/>
      <c r="H12" s="25"/>
      <c r="I12" s="25"/>
      <c r="J12" s="25"/>
      <c r="K12" s="25"/>
      <c r="L12" s="25"/>
    </row>
    <row r="13" spans="1:12" x14ac:dyDescent="0.25">
      <c r="A13" s="6" t="s">
        <v>1714</v>
      </c>
      <c r="B13" s="6" t="s">
        <v>1713</v>
      </c>
      <c r="C13" s="8">
        <v>66.260499999999993</v>
      </c>
      <c r="D13" s="8">
        <v>65.734499999999997</v>
      </c>
      <c r="E13" s="8">
        <v>65.715800000000002</v>
      </c>
      <c r="F13" s="8">
        <v>65.143799999999999</v>
      </c>
      <c r="G13" s="8">
        <v>63.110599999999998</v>
      </c>
      <c r="H13" s="8">
        <v>64.110399999999998</v>
      </c>
      <c r="I13" s="8">
        <v>62.756799999999998</v>
      </c>
      <c r="J13" s="8">
        <v>63.703800000000001</v>
      </c>
      <c r="K13" s="8">
        <v>63.907899999999998</v>
      </c>
      <c r="L13" s="8">
        <v>63.963200000000001</v>
      </c>
    </row>
    <row r="14" spans="1:12" x14ac:dyDescent="0.25">
      <c r="A14" s="6" t="s">
        <v>2034</v>
      </c>
      <c r="B14" s="6" t="s">
        <v>180</v>
      </c>
      <c r="C14" s="8">
        <v>24.026499999999999</v>
      </c>
      <c r="D14" s="8">
        <v>23.617799999999999</v>
      </c>
      <c r="E14" s="8">
        <v>23.968800000000002</v>
      </c>
      <c r="F14" s="8">
        <v>24.348299999999998</v>
      </c>
      <c r="G14" s="8">
        <v>22.054200000000002</v>
      </c>
      <c r="H14" s="8">
        <v>21.668199999999999</v>
      </c>
      <c r="I14" s="8">
        <v>21.616299999999999</v>
      </c>
      <c r="J14" s="8">
        <v>24.821899999999999</v>
      </c>
      <c r="K14" s="8">
        <v>21.814599999999999</v>
      </c>
      <c r="L14" s="8">
        <v>25.0319</v>
      </c>
    </row>
    <row r="15" spans="1:12" x14ac:dyDescent="0.25">
      <c r="A15" s="6" t="s">
        <v>1712</v>
      </c>
      <c r="B15" s="6" t="s">
        <v>1138</v>
      </c>
      <c r="C15" s="8">
        <v>19.205300000000001</v>
      </c>
      <c r="D15" s="8">
        <v>18.4587</v>
      </c>
      <c r="E15" s="8">
        <v>18.652999999999999</v>
      </c>
      <c r="F15" s="8">
        <v>18.227599999999999</v>
      </c>
      <c r="G15" s="8">
        <v>15.4902</v>
      </c>
      <c r="H15" s="8">
        <v>15.103999999999999</v>
      </c>
      <c r="I15" s="8">
        <v>15.3992</v>
      </c>
      <c r="J15" s="8">
        <v>18.967700000000001</v>
      </c>
      <c r="K15" s="8">
        <v>16.326599999999999</v>
      </c>
      <c r="L15" s="8">
        <v>19.465699999999998</v>
      </c>
    </row>
    <row r="16" spans="1:12" x14ac:dyDescent="0.25">
      <c r="A16" s="6" t="s">
        <v>2033</v>
      </c>
      <c r="B16" s="6" t="s">
        <v>2032</v>
      </c>
      <c r="C16" s="8">
        <v>22.770099999999999</v>
      </c>
      <c r="D16" s="8">
        <v>10.9026</v>
      </c>
      <c r="E16" s="8">
        <v>20.743300000000001</v>
      </c>
      <c r="F16" s="8">
        <v>13.7178</v>
      </c>
      <c r="G16" s="8">
        <v>-91.932500000000005</v>
      </c>
      <c r="H16" s="8">
        <v>13.0939</v>
      </c>
      <c r="I16" s="8">
        <v>19.1648</v>
      </c>
      <c r="J16" s="8">
        <v>51.098100000000002</v>
      </c>
      <c r="K16" s="8" t="s">
        <v>1702</v>
      </c>
      <c r="L16" s="8">
        <v>47.600200000000001</v>
      </c>
    </row>
    <row r="17" spans="1:12" x14ac:dyDescent="0.25">
      <c r="A17" s="6" t="s">
        <v>2031</v>
      </c>
      <c r="B17" s="6" t="s">
        <v>2030</v>
      </c>
      <c r="C17" s="8">
        <v>16.962499999999999</v>
      </c>
      <c r="D17" s="8">
        <v>16.578299999999999</v>
      </c>
      <c r="E17" s="8">
        <v>17.322299999999998</v>
      </c>
      <c r="F17" s="8">
        <v>17.213100000000001</v>
      </c>
      <c r="G17" s="8">
        <v>13.6158</v>
      </c>
      <c r="H17" s="8">
        <v>13.3329</v>
      </c>
      <c r="I17" s="8">
        <v>14.5428</v>
      </c>
      <c r="J17" s="8">
        <v>17.918800000000001</v>
      </c>
      <c r="K17" s="8">
        <v>15.454700000000001</v>
      </c>
      <c r="L17" s="8">
        <v>17.9726</v>
      </c>
    </row>
    <row r="18" spans="1:12" x14ac:dyDescent="0.25">
      <c r="A18" s="6" t="s">
        <v>2029</v>
      </c>
      <c r="B18" s="6" t="s">
        <v>2028</v>
      </c>
      <c r="C18" s="8">
        <v>14.542999999999999</v>
      </c>
      <c r="D18" s="8">
        <v>8.1966999999999999</v>
      </c>
      <c r="E18" s="8">
        <v>26.123100000000001</v>
      </c>
      <c r="F18" s="8">
        <v>13.994899999999999</v>
      </c>
      <c r="G18" s="8">
        <v>11.142099999999999</v>
      </c>
      <c r="H18" s="8">
        <v>11.6554</v>
      </c>
      <c r="I18" s="8">
        <v>12.7812</v>
      </c>
      <c r="J18" s="8">
        <v>15.4405</v>
      </c>
      <c r="K18" s="8">
        <v>13.2463</v>
      </c>
      <c r="L18" s="8">
        <v>12.923999999999999</v>
      </c>
    </row>
    <row r="19" spans="1:12" x14ac:dyDescent="0.25">
      <c r="A19" s="6" t="s">
        <v>2027</v>
      </c>
      <c r="B19" s="6" t="s">
        <v>244</v>
      </c>
      <c r="C19" s="8">
        <v>14.542999999999999</v>
      </c>
      <c r="D19" s="8">
        <v>8.1966999999999999</v>
      </c>
      <c r="E19" s="8">
        <v>26.123100000000001</v>
      </c>
      <c r="F19" s="8">
        <v>13.994899999999999</v>
      </c>
      <c r="G19" s="8">
        <v>11.142099999999999</v>
      </c>
      <c r="H19" s="8">
        <v>11.6554</v>
      </c>
      <c r="I19" s="8">
        <v>12.7812</v>
      </c>
      <c r="J19" s="8">
        <v>15.4405</v>
      </c>
      <c r="K19" s="8">
        <v>13.2463</v>
      </c>
      <c r="L19" s="8">
        <v>12.923999999999999</v>
      </c>
    </row>
    <row r="20" spans="1:12" x14ac:dyDescent="0.25">
      <c r="A20" s="6" t="s">
        <v>2026</v>
      </c>
      <c r="B20" s="6" t="s">
        <v>1126</v>
      </c>
      <c r="C20" s="8">
        <v>14.542999999999999</v>
      </c>
      <c r="D20" s="8">
        <v>8.1966999999999999</v>
      </c>
      <c r="E20" s="8">
        <v>26.123100000000001</v>
      </c>
      <c r="F20" s="8">
        <v>13.994899999999999</v>
      </c>
      <c r="G20" s="8">
        <v>11.142099999999999</v>
      </c>
      <c r="H20" s="8">
        <v>11.6554</v>
      </c>
      <c r="I20" s="8">
        <v>12.7812</v>
      </c>
      <c r="J20" s="8">
        <v>15.4405</v>
      </c>
      <c r="K20" s="8">
        <v>13.2463</v>
      </c>
      <c r="L20" s="8">
        <v>12.923999999999999</v>
      </c>
    </row>
    <row r="21" spans="1:12" x14ac:dyDescent="0.25">
      <c r="A21" s="6"/>
      <c r="B21" s="41"/>
      <c r="C21" s="41"/>
      <c r="D21" s="41"/>
      <c r="E21" s="41"/>
      <c r="F21" s="41"/>
      <c r="G21" s="41"/>
      <c r="H21" s="41"/>
      <c r="I21" s="41"/>
      <c r="J21" s="41"/>
      <c r="K21" s="41"/>
      <c r="L21" s="41"/>
    </row>
    <row r="22" spans="1:12" x14ac:dyDescent="0.25">
      <c r="A22" s="24" t="s">
        <v>2025</v>
      </c>
      <c r="B22" s="25"/>
      <c r="C22" s="25"/>
      <c r="D22" s="25"/>
      <c r="E22" s="25"/>
      <c r="F22" s="25"/>
      <c r="G22" s="25"/>
      <c r="H22" s="25"/>
      <c r="I22" s="25"/>
      <c r="J22" s="25"/>
      <c r="K22" s="25"/>
      <c r="L22" s="25"/>
    </row>
    <row r="23" spans="1:12" x14ac:dyDescent="0.25">
      <c r="A23" s="6" t="s">
        <v>2024</v>
      </c>
      <c r="B23" s="6" t="s">
        <v>596</v>
      </c>
      <c r="C23" s="8">
        <v>14.263400000000001</v>
      </c>
      <c r="D23" s="8">
        <v>50.557400000000001</v>
      </c>
      <c r="E23" s="8" t="s">
        <v>1702</v>
      </c>
      <c r="F23" s="8">
        <v>18.696300000000001</v>
      </c>
      <c r="G23" s="8">
        <v>18.167899999999999</v>
      </c>
      <c r="H23" s="8">
        <v>12.5822</v>
      </c>
      <c r="I23" s="8">
        <v>12.113300000000001</v>
      </c>
      <c r="J23" s="8">
        <v>13.8307</v>
      </c>
      <c r="K23" s="8">
        <v>14.2898</v>
      </c>
      <c r="L23" s="8">
        <v>28.090399999999999</v>
      </c>
    </row>
    <row r="24" spans="1:12" x14ac:dyDescent="0.25">
      <c r="A24" s="6" t="s">
        <v>2023</v>
      </c>
      <c r="B24" s="6" t="s">
        <v>2022</v>
      </c>
      <c r="C24" s="8">
        <v>34.486899999999999</v>
      </c>
      <c r="D24" s="8">
        <v>62.352899999999998</v>
      </c>
      <c r="E24" s="8">
        <v>19.786100000000001</v>
      </c>
      <c r="F24" s="8">
        <v>37.35</v>
      </c>
      <c r="G24" s="8">
        <v>53.971200000000003</v>
      </c>
      <c r="H24" s="8">
        <v>47.642899999999997</v>
      </c>
      <c r="I24" s="8">
        <v>44.5717</v>
      </c>
      <c r="J24" s="8">
        <v>35.987400000000001</v>
      </c>
      <c r="K24" s="8">
        <v>40.728400000000001</v>
      </c>
      <c r="L24" s="8">
        <v>39.556399999999996</v>
      </c>
    </row>
    <row r="25" spans="1:12" x14ac:dyDescent="0.25">
      <c r="A25" s="6" t="s">
        <v>2021</v>
      </c>
      <c r="B25" s="6" t="s">
        <v>2020</v>
      </c>
      <c r="C25" s="8">
        <v>11.948399999999999</v>
      </c>
      <c r="D25" s="8">
        <v>3.9352</v>
      </c>
      <c r="E25" s="8">
        <v>26.272099999999998</v>
      </c>
      <c r="F25" s="8">
        <v>10.637</v>
      </c>
      <c r="G25" s="8">
        <v>5.6853999999999996</v>
      </c>
      <c r="H25" s="8">
        <v>7.4675000000000002</v>
      </c>
      <c r="I25" s="8">
        <v>8.3003</v>
      </c>
      <c r="J25" s="8">
        <v>11.5084</v>
      </c>
      <c r="K25" s="8">
        <v>9.0448000000000004</v>
      </c>
      <c r="L25" s="8">
        <v>9.1141000000000005</v>
      </c>
    </row>
    <row r="26" spans="1:12" x14ac:dyDescent="0.25">
      <c r="A26" s="9" t="s">
        <v>492</v>
      </c>
      <c r="B26" s="9"/>
      <c r="C26" s="9" t="s">
        <v>1654</v>
      </c>
      <c r="D26" s="9"/>
      <c r="E26" s="9"/>
      <c r="F26" s="9"/>
      <c r="G26" s="9"/>
      <c r="H26" s="9"/>
      <c r="I26" s="9"/>
      <c r="J26" s="9"/>
      <c r="K26" s="9"/>
      <c r="L26"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3486-85E0-40EC-BA6F-30D33006CDE1}">
  <sheetPr codeName="Sheet15">
    <tabColor theme="4" tint="0.59999389629810485"/>
  </sheetPr>
  <dimension ref="A1:O175"/>
  <sheetViews>
    <sheetView workbookViewId="0">
      <selection activeCell="N4" sqref="N4"/>
    </sheetView>
  </sheetViews>
  <sheetFormatPr defaultRowHeight="15" x14ac:dyDescent="0.25"/>
  <cols>
    <col min="1" max="1" width="34.28515625" customWidth="1"/>
    <col min="2" max="4" width="0" hidden="1" customWidth="1"/>
    <col min="5" max="14" width="19" customWidth="1"/>
  </cols>
  <sheetData>
    <row r="1" spans="1:15" ht="20.25" x14ac:dyDescent="0.25">
      <c r="A1" s="1" t="s">
        <v>0</v>
      </c>
      <c r="B1" s="1"/>
      <c r="C1" s="1"/>
      <c r="D1" s="1"/>
      <c r="E1" s="1"/>
      <c r="F1" s="1"/>
      <c r="G1" s="1"/>
      <c r="H1" s="1"/>
      <c r="I1" s="1"/>
      <c r="J1" s="1"/>
      <c r="K1" s="1"/>
      <c r="L1" s="1"/>
      <c r="M1" s="1"/>
      <c r="N1" s="1"/>
    </row>
    <row r="2" spans="1:15" x14ac:dyDescent="0.25">
      <c r="A2" s="2" t="s">
        <v>1</v>
      </c>
      <c r="B2" s="2"/>
      <c r="C2" s="2"/>
      <c r="D2" s="2"/>
      <c r="E2" s="2"/>
      <c r="F2" s="2"/>
      <c r="G2" s="2"/>
      <c r="H2" s="2"/>
      <c r="I2" s="2"/>
      <c r="J2" s="2"/>
      <c r="K2" s="2"/>
      <c r="L2" s="2"/>
      <c r="M2" s="2"/>
    </row>
    <row r="3" spans="1:15" x14ac:dyDescent="0.25">
      <c r="A3" s="3" t="s">
        <v>2</v>
      </c>
      <c r="B3" s="3"/>
      <c r="C3" s="3"/>
      <c r="D3" s="3"/>
      <c r="E3" s="37" t="s">
        <v>1697</v>
      </c>
      <c r="F3" s="37" t="s">
        <v>1696</v>
      </c>
      <c r="G3" s="37" t="s">
        <v>1695</v>
      </c>
      <c r="H3" s="37" t="s">
        <v>1694</v>
      </c>
      <c r="I3" s="37" t="s">
        <v>1693</v>
      </c>
      <c r="J3" s="37" t="s">
        <v>1692</v>
      </c>
      <c r="K3" s="37" t="s">
        <v>1691</v>
      </c>
      <c r="L3" s="37" t="s">
        <v>1690</v>
      </c>
      <c r="M3" s="37" t="s">
        <v>1689</v>
      </c>
      <c r="N3" s="37" t="s">
        <v>1688</v>
      </c>
    </row>
    <row r="4" spans="1:15" x14ac:dyDescent="0.25">
      <c r="A4" s="4" t="s">
        <v>3</v>
      </c>
      <c r="B4" s="4" t="s">
        <v>4</v>
      </c>
      <c r="C4" s="4" t="s">
        <v>5</v>
      </c>
      <c r="D4" s="4" t="s">
        <v>6</v>
      </c>
      <c r="E4" s="5" t="e" cm="1">
        <f t="array" aca="1" ref="E4" ca="1">BQL("SYK US Equity", "IS_COMP_SALES().period_end_date", "FPT=A", "FPO=-7A", "FA_ACT_EST_DATA=AAE", "ACT_EST_MAPPING=PRECISE", "FS=MRC", "CURRENCY=USD", "XLFILL=b")</f>
        <v>#NAME?</v>
      </c>
      <c r="F4" s="5" t="e" cm="1">
        <f t="array" aca="1" ref="F4" ca="1">_xll.BQL("SYK US Equity", "IS_COMP_SALES().period_end_date", "FPT=A", "FPO=-6A", "FA_ACT_EST_DATA=AAE", "ACT_EST_MAPPING=PRECISE", "FS=MRC", "CURRENCY=USD", "XLFILL=b")</f>
        <v>#NAME?</v>
      </c>
      <c r="G4" s="5" t="e" cm="1">
        <f t="array" aca="1" ref="G4" ca="1">_xll.BQL("SYK US Equity", "IS_COMP_SALES().period_end_date", "FPT=A", "FPO=-5A", "FA_ACT_EST_DATA=AAE", "ACT_EST_MAPPING=PRECISE", "FS=MRC", "CURRENCY=USD", "XLFILL=b")</f>
        <v>#NAME?</v>
      </c>
      <c r="H4" s="5" t="e" cm="1">
        <f t="array" aca="1" ref="H4" ca="1">_xll.BQL("SYK US Equity", "IS_COMP_SALES().period_end_date", "FPT=A", "FPO=-4A", "FA_ACT_EST_DATA=AAE", "ACT_EST_MAPPING=PRECISE", "FS=MRC", "CURRENCY=USD", "XLFILL=b")</f>
        <v>#NAME?</v>
      </c>
      <c r="I4" s="5" t="e" cm="1">
        <f t="array" aca="1" ref="I4" ca="1">_xll.BQL("SYK US Equity", "IS_COMP_SALES().period_end_date", "FPT=A", "FPO=-3A", "FA_ACT_EST_DATA=AAE", "ACT_EST_MAPPING=PRECISE", "FS=MRC", "CURRENCY=USD", "XLFILL=b")</f>
        <v>#NAME?</v>
      </c>
      <c r="J4" s="5" t="e" cm="1">
        <f t="array" aca="1" ref="J4" ca="1">_xll.BQL("SYK US Equity", "IS_COMP_SALES().period_end_date", "FPT=A", "FPO=-2A", "FA_ACT_EST_DATA=AAE", "ACT_EST_MAPPING=PRECISE", "FS=MRC", "CURRENCY=USD", "XLFILL=b")</f>
        <v>#NAME?</v>
      </c>
      <c r="K4" s="5" t="e" cm="1">
        <f t="array" aca="1" ref="K4" ca="1">_xll.BQL("SYK US Equity", "IS_COMP_SALES().period_end_date", "FPT=A", "FPO=-1A", "FA_ACT_EST_DATA=AAE", "ACT_EST_MAPPING=PRECISE", "FS=MRC", "CURRENCY=USD", "XLFILL=b")</f>
        <v>#NAME?</v>
      </c>
      <c r="L4" s="5" t="e" cm="1">
        <f t="array" aca="1" ref="L4" ca="1">_xll.BQL("SYK US Equity", "IS_COMP_SALES().period_end_date", "FPT=A", "FPO=0A", "FA_ACT_EST_DATA=AAE", "ACT_EST_MAPPING=PRECISE", "FS=MRC", "CURRENCY=USD", "XLFILL=b")</f>
        <v>#NAME?</v>
      </c>
      <c r="M4" s="5" t="e" cm="1">
        <f t="array" aca="1" ref="M4" ca="1">_xll.BQL("SYK US Equity", "IS_COMP_SALES().period_end_date", "FPT=A", "FPO=1A", "FA_ACT_EST_DATA=AAE", "ACT_EST_MAPPING=PRECISE", "FS=MRC", "CURRENCY=USD", "XLFILL=b")</f>
        <v>#NAME?</v>
      </c>
      <c r="N4" s="5" t="e" cm="1">
        <f t="array" aca="1" ref="N4" ca="1">_xll.BQL("SYK US Equity", "IS_COMP_SALES().period_end_date", "FPT=A", "FPO=2A", "FA_ACT_EST_DATA=AAE", "ACT_EST_MAPPING=PRECISE", "FS=MRC", "CURRENCY=USD", "XLFILL=b")</f>
        <v>#NAME?</v>
      </c>
    </row>
    <row r="5" spans="1:15" x14ac:dyDescent="0.25">
      <c r="A5" s="6" t="s">
        <v>11</v>
      </c>
      <c r="B5" s="7" t="s">
        <v>20</v>
      </c>
      <c r="C5" s="7" t="s">
        <v>21</v>
      </c>
      <c r="D5" s="7"/>
      <c r="E5" s="8">
        <v>13601</v>
      </c>
      <c r="F5" s="8">
        <v>14884</v>
      </c>
      <c r="G5" s="8">
        <v>14351</v>
      </c>
      <c r="H5" s="8">
        <v>17108</v>
      </c>
      <c r="I5" s="8">
        <v>18449</v>
      </c>
      <c r="J5" s="8">
        <v>20498</v>
      </c>
      <c r="K5" s="8">
        <v>22595</v>
      </c>
      <c r="L5" s="8">
        <v>25116</v>
      </c>
      <c r="M5" s="8" t="s">
        <v>1483</v>
      </c>
      <c r="N5" s="8" t="s">
        <v>1483</v>
      </c>
    </row>
    <row r="6" spans="1:15" x14ac:dyDescent="0.25">
      <c r="A6" s="6" t="s">
        <v>100</v>
      </c>
      <c r="B6" s="7" t="s">
        <v>20</v>
      </c>
      <c r="C6" s="7" t="s">
        <v>21</v>
      </c>
      <c r="D6" s="7" t="s">
        <v>35</v>
      </c>
      <c r="E6" s="8">
        <v>6073.44</v>
      </c>
      <c r="F6" s="8">
        <v>8475</v>
      </c>
      <c r="G6" s="8">
        <v>8345</v>
      </c>
      <c r="H6" s="8">
        <v>9538</v>
      </c>
      <c r="I6" s="8">
        <v>10893</v>
      </c>
      <c r="J6" s="8">
        <v>12163</v>
      </c>
      <c r="K6" s="8">
        <v>13518</v>
      </c>
      <c r="L6" s="8">
        <v>15647</v>
      </c>
      <c r="M6" s="8">
        <v>17286.229234375587</v>
      </c>
      <c r="N6" s="8">
        <v>18832.268607717695</v>
      </c>
    </row>
    <row r="7" spans="1:15" x14ac:dyDescent="0.25">
      <c r="A7" s="6" t="s">
        <v>2050</v>
      </c>
      <c r="B7" s="7" t="s">
        <v>20</v>
      </c>
      <c r="C7" s="7" t="s">
        <v>21</v>
      </c>
      <c r="D7" s="7" t="s">
        <v>35</v>
      </c>
      <c r="E7" s="8">
        <v>44.654363649731636</v>
      </c>
      <c r="F7" s="8">
        <v>56.940338618650898</v>
      </c>
      <c r="G7" s="8">
        <v>58.149257891436136</v>
      </c>
      <c r="H7" s="8">
        <v>55.75169511339724</v>
      </c>
      <c r="I7" s="8">
        <v>59.043850615209493</v>
      </c>
      <c r="J7" s="8">
        <v>59.337496341106451</v>
      </c>
      <c r="K7" s="8">
        <v>59.827395441469349</v>
      </c>
      <c r="L7" s="8">
        <v>62.298932951106863</v>
      </c>
      <c r="M7" s="8" t="s">
        <v>1483</v>
      </c>
      <c r="N7" s="8" t="s">
        <v>1483</v>
      </c>
      <c r="O7" s="43"/>
    </row>
    <row r="8" spans="1:15" x14ac:dyDescent="0.25">
      <c r="A8" s="6" t="s">
        <v>102</v>
      </c>
      <c r="B8" s="7" t="s">
        <v>20</v>
      </c>
      <c r="C8" s="7" t="s">
        <v>21</v>
      </c>
      <c r="D8" s="7" t="s">
        <v>37</v>
      </c>
      <c r="E8" s="8">
        <v>1822</v>
      </c>
      <c r="F8" s="8">
        <v>1959</v>
      </c>
      <c r="G8" s="8">
        <v>1863</v>
      </c>
      <c r="H8" s="8">
        <v>2111</v>
      </c>
      <c r="I8" s="8">
        <v>2245</v>
      </c>
      <c r="J8" s="8">
        <v>2534</v>
      </c>
      <c r="K8" s="8">
        <v>2834</v>
      </c>
      <c r="L8" s="8">
        <v>3183</v>
      </c>
      <c r="M8" s="8">
        <v>3495.7615520504123</v>
      </c>
      <c r="N8" s="8">
        <v>3793.8019662286092</v>
      </c>
    </row>
    <row r="9" spans="1:15" x14ac:dyDescent="0.25">
      <c r="A9" s="6" t="s">
        <v>2064</v>
      </c>
      <c r="B9" s="7" t="s">
        <v>20</v>
      </c>
      <c r="C9" s="7" t="s">
        <v>21</v>
      </c>
      <c r="D9" s="7" t="s">
        <v>37</v>
      </c>
      <c r="E9" s="8">
        <v>13.396073818101611</v>
      </c>
      <c r="F9" s="8">
        <v>13.161784466541253</v>
      </c>
      <c r="G9" s="8">
        <v>12.981673750958121</v>
      </c>
      <c r="H9" s="8">
        <v>12.339256488192659</v>
      </c>
      <c r="I9" s="8">
        <v>12.168681229334924</v>
      </c>
      <c r="J9" s="8">
        <v>12.362181676261098</v>
      </c>
      <c r="K9" s="8">
        <v>12.542597919893781</v>
      </c>
      <c r="L9" s="8">
        <v>12.673196368848544</v>
      </c>
      <c r="M9" s="8" t="s">
        <v>1483</v>
      </c>
      <c r="N9" s="8" t="s">
        <v>1483</v>
      </c>
    </row>
    <row r="10" spans="1:15" x14ac:dyDescent="0.25">
      <c r="A10" s="6" t="s">
        <v>104</v>
      </c>
      <c r="B10" s="7" t="s">
        <v>20</v>
      </c>
      <c r="C10" s="7" t="s">
        <v>21</v>
      </c>
      <c r="D10" s="7" t="s">
        <v>39</v>
      </c>
      <c r="E10" s="8">
        <v>1846</v>
      </c>
      <c r="F10" s="8">
        <v>1983</v>
      </c>
      <c r="G10" s="8">
        <v>1763</v>
      </c>
      <c r="H10" s="8">
        <v>2141</v>
      </c>
      <c r="I10" s="8">
        <v>2759</v>
      </c>
      <c r="J10" s="8">
        <v>3068</v>
      </c>
      <c r="K10" s="8">
        <v>3389</v>
      </c>
      <c r="L10" s="8">
        <v>3807</v>
      </c>
      <c r="M10" s="8">
        <v>4150.4047853201346</v>
      </c>
      <c r="N10" s="8">
        <v>4500.853416760141</v>
      </c>
    </row>
    <row r="11" spans="1:15" x14ac:dyDescent="0.25">
      <c r="A11" s="6" t="s">
        <v>2064</v>
      </c>
      <c r="B11" s="7" t="s">
        <v>20</v>
      </c>
      <c r="C11" s="7" t="s">
        <v>21</v>
      </c>
      <c r="D11" s="7" t="s">
        <v>39</v>
      </c>
      <c r="E11" s="8">
        <v>13.572531431512388</v>
      </c>
      <c r="F11" s="8">
        <v>13.32303144316044</v>
      </c>
      <c r="G11" s="8">
        <v>12.28485819803498</v>
      </c>
      <c r="H11" s="8">
        <v>12.514613046527939</v>
      </c>
      <c r="I11" s="8">
        <v>14.954740094314054</v>
      </c>
      <c r="J11" s="8">
        <v>14.967313884281394</v>
      </c>
      <c r="K11" s="8">
        <v>14.998893560522239</v>
      </c>
      <c r="L11" s="8">
        <v>15.157668418537984</v>
      </c>
      <c r="M11" s="8" t="s">
        <v>1483</v>
      </c>
      <c r="N11" s="8" t="s">
        <v>1483</v>
      </c>
    </row>
    <row r="12" spans="1:15" x14ac:dyDescent="0.25">
      <c r="A12" s="6" t="s">
        <v>106</v>
      </c>
      <c r="B12" s="7" t="s">
        <v>20</v>
      </c>
      <c r="C12" s="7" t="s">
        <v>21</v>
      </c>
      <c r="D12" s="7" t="s">
        <v>41</v>
      </c>
      <c r="E12" s="8">
        <v>2118</v>
      </c>
      <c r="F12" s="8">
        <v>2264</v>
      </c>
      <c r="G12" s="8">
        <v>2524</v>
      </c>
      <c r="H12" s="8">
        <v>2607</v>
      </c>
      <c r="I12" s="8">
        <v>3031</v>
      </c>
      <c r="J12" s="8">
        <v>3459</v>
      </c>
      <c r="K12" s="8">
        <v>3852</v>
      </c>
      <c r="L12" s="8">
        <v>4204</v>
      </c>
      <c r="M12" s="8">
        <v>4608.0364989274813</v>
      </c>
      <c r="N12" s="8">
        <v>5010.7174221547757</v>
      </c>
    </row>
    <row r="13" spans="1:15" x14ac:dyDescent="0.25">
      <c r="A13" s="6" t="s">
        <v>2064</v>
      </c>
      <c r="B13" s="7" t="s">
        <v>20</v>
      </c>
      <c r="C13" s="7" t="s">
        <v>21</v>
      </c>
      <c r="D13" s="7" t="s">
        <v>41</v>
      </c>
      <c r="E13" s="8">
        <v>15.572384383501213</v>
      </c>
      <c r="F13" s="8">
        <v>15.210964794410105</v>
      </c>
      <c r="G13" s="8">
        <v>17.587624555780085</v>
      </c>
      <c r="H13" s="8">
        <v>15.238484919335983</v>
      </c>
      <c r="I13" s="8">
        <v>16.429074746598733</v>
      </c>
      <c r="J13" s="8">
        <v>16.87481705532247</v>
      </c>
      <c r="K13" s="8">
        <v>17.048019473334808</v>
      </c>
      <c r="L13" s="8">
        <v>16.738334129638478</v>
      </c>
      <c r="M13" s="8" t="s">
        <v>1483</v>
      </c>
      <c r="N13" s="8" t="s">
        <v>1483</v>
      </c>
    </row>
    <row r="14" spans="1:15" x14ac:dyDescent="0.25">
      <c r="A14" s="6" t="s">
        <v>108</v>
      </c>
      <c r="B14" s="7" t="s">
        <v>20</v>
      </c>
      <c r="C14" s="7" t="s">
        <v>21</v>
      </c>
      <c r="D14" s="7" t="s">
        <v>43</v>
      </c>
      <c r="E14" s="8" t="s">
        <v>1483</v>
      </c>
      <c r="F14" s="8">
        <v>924</v>
      </c>
      <c r="G14" s="8">
        <v>973</v>
      </c>
      <c r="H14" s="8">
        <v>1188</v>
      </c>
      <c r="I14" s="8">
        <v>1200</v>
      </c>
      <c r="J14" s="8">
        <v>1226</v>
      </c>
      <c r="K14" s="8">
        <v>1307</v>
      </c>
      <c r="L14" s="8">
        <v>1968</v>
      </c>
      <c r="M14" s="8">
        <v>2272.8781057272927</v>
      </c>
      <c r="N14" s="8">
        <v>2504.0858450947935</v>
      </c>
    </row>
    <row r="15" spans="1:15" x14ac:dyDescent="0.25">
      <c r="A15" s="6" t="s">
        <v>2064</v>
      </c>
      <c r="B15" s="7" t="s">
        <v>20</v>
      </c>
      <c r="C15" s="7" t="s">
        <v>21</v>
      </c>
      <c r="D15" s="7" t="s">
        <v>43</v>
      </c>
      <c r="E15" s="8" t="s">
        <v>1483</v>
      </c>
      <c r="F15" s="8">
        <v>6.2080085998387533</v>
      </c>
      <c r="G15" s="8">
        <v>6.7800153299421639</v>
      </c>
      <c r="H15" s="8">
        <v>6.9441197100771568</v>
      </c>
      <c r="I15" s="8">
        <v>6.504417583608868</v>
      </c>
      <c r="J15" s="8">
        <v>5.9810713240316131</v>
      </c>
      <c r="K15" s="8">
        <v>5.7844655897322417</v>
      </c>
      <c r="L15" s="8">
        <v>7.8356426182513141</v>
      </c>
      <c r="M15" s="8" t="s">
        <v>1483</v>
      </c>
      <c r="N15" s="8" t="s">
        <v>1483</v>
      </c>
    </row>
    <row r="16" spans="1:15" x14ac:dyDescent="0.25">
      <c r="A16" s="6" t="s">
        <v>110</v>
      </c>
      <c r="B16" s="7" t="s">
        <v>20</v>
      </c>
      <c r="C16" s="7" t="s">
        <v>21</v>
      </c>
      <c r="D16" s="7" t="s">
        <v>45</v>
      </c>
      <c r="E16" s="8" t="s">
        <v>1483</v>
      </c>
      <c r="F16" s="8">
        <v>1059</v>
      </c>
      <c r="G16" s="8">
        <v>972</v>
      </c>
      <c r="H16" s="8">
        <v>1214</v>
      </c>
      <c r="I16" s="8">
        <v>1658</v>
      </c>
      <c r="J16" s="8">
        <v>1876</v>
      </c>
      <c r="K16" s="8">
        <v>2136</v>
      </c>
      <c r="L16" s="8">
        <v>2485</v>
      </c>
      <c r="M16" s="8">
        <v>2766.9681565610517</v>
      </c>
      <c r="N16" s="8">
        <v>3036.3739319616416</v>
      </c>
    </row>
    <row r="17" spans="1:14" x14ac:dyDescent="0.25">
      <c r="A17" s="6" t="s">
        <v>2064</v>
      </c>
      <c r="B17" s="7" t="s">
        <v>20</v>
      </c>
      <c r="C17" s="7" t="s">
        <v>21</v>
      </c>
      <c r="D17" s="7" t="s">
        <v>45</v>
      </c>
      <c r="E17" s="8" t="s">
        <v>1483</v>
      </c>
      <c r="F17" s="8">
        <v>7.1150228433216878</v>
      </c>
      <c r="G17" s="8">
        <v>6.773047174412933</v>
      </c>
      <c r="H17" s="8">
        <v>7.096095393967734</v>
      </c>
      <c r="I17" s="8">
        <v>8.9869369613529191</v>
      </c>
      <c r="J17" s="8">
        <v>9.1521124012098749</v>
      </c>
      <c r="K17" s="8">
        <v>9.4534188979862801</v>
      </c>
      <c r="L17" s="8">
        <v>9.8940914158305464</v>
      </c>
      <c r="M17" s="8" t="s">
        <v>1483</v>
      </c>
      <c r="N17" s="8" t="s">
        <v>1483</v>
      </c>
    </row>
    <row r="18" spans="1:14" x14ac:dyDescent="0.25">
      <c r="A18" s="6" t="s">
        <v>98</v>
      </c>
      <c r="B18" s="7" t="s">
        <v>20</v>
      </c>
      <c r="C18" s="7" t="s">
        <v>21</v>
      </c>
      <c r="D18" s="7" t="s">
        <v>2093</v>
      </c>
      <c r="E18" s="8">
        <v>270.94103956187439</v>
      </c>
      <c r="F18" s="8">
        <v>286</v>
      </c>
      <c r="G18" s="8">
        <v>250</v>
      </c>
      <c r="H18" s="8">
        <v>277</v>
      </c>
      <c r="I18" s="8">
        <v>302</v>
      </c>
      <c r="J18" s="8">
        <v>308.27105371708194</v>
      </c>
      <c r="K18" s="8">
        <v>334.41476876528708</v>
      </c>
      <c r="L18" s="8">
        <v>423.52647324294367</v>
      </c>
      <c r="M18" s="8">
        <v>535.55856435151338</v>
      </c>
      <c r="N18" s="8">
        <v>549.22929233104003</v>
      </c>
    </row>
    <row r="19" spans="1:14" x14ac:dyDescent="0.25">
      <c r="A19" s="6" t="s">
        <v>2064</v>
      </c>
      <c r="B19" s="7" t="s">
        <v>20</v>
      </c>
      <c r="C19" s="7" t="s">
        <v>21</v>
      </c>
      <c r="D19" s="7" t="s">
        <v>2093</v>
      </c>
      <c r="E19" s="8">
        <v>1.9920670506718212</v>
      </c>
      <c r="F19" s="8">
        <v>1.9215264713786617</v>
      </c>
      <c r="G19" s="8">
        <v>1.7420388823078532</v>
      </c>
      <c r="H19" s="8">
        <v>1.619125555295768</v>
      </c>
      <c r="I19" s="8">
        <v>1.6369450918748985</v>
      </c>
      <c r="J19" s="8">
        <v>1.5039079603721435</v>
      </c>
      <c r="K19" s="8">
        <v>1.4800388084323395</v>
      </c>
      <c r="L19" s="8">
        <v>1.6862815465955712</v>
      </c>
      <c r="M19" s="8" t="s">
        <v>1483</v>
      </c>
      <c r="N19" s="8" t="s">
        <v>1483</v>
      </c>
    </row>
    <row r="20" spans="1:14" x14ac:dyDescent="0.25">
      <c r="A20" s="6" t="s">
        <v>85</v>
      </c>
      <c r="B20" s="7" t="s">
        <v>20</v>
      </c>
      <c r="C20" s="7" t="s">
        <v>21</v>
      </c>
      <c r="D20" s="7" t="s">
        <v>22</v>
      </c>
      <c r="E20" s="8" t="s">
        <v>1483</v>
      </c>
      <c r="F20" s="8">
        <v>6409</v>
      </c>
      <c r="G20" s="8">
        <v>6006</v>
      </c>
      <c r="H20" s="8">
        <v>7570</v>
      </c>
      <c r="I20" s="8">
        <v>7556</v>
      </c>
      <c r="J20" s="8">
        <v>8335</v>
      </c>
      <c r="K20" s="8">
        <v>9077</v>
      </c>
      <c r="L20" s="8">
        <v>9469</v>
      </c>
      <c r="M20" s="8">
        <v>10037.2481791051</v>
      </c>
      <c r="N20" s="8">
        <v>10760.333162983165</v>
      </c>
    </row>
    <row r="21" spans="1:14" x14ac:dyDescent="0.25">
      <c r="A21" s="6" t="s">
        <v>2050</v>
      </c>
      <c r="B21" s="7" t="s">
        <v>20</v>
      </c>
      <c r="C21" s="7" t="s">
        <v>21</v>
      </c>
      <c r="D21" s="7" t="s">
        <v>22</v>
      </c>
      <c r="E21" s="8" t="s">
        <v>1483</v>
      </c>
      <c r="F21" s="8">
        <v>43.059661381349102</v>
      </c>
      <c r="G21" s="8">
        <v>41.850742108563864</v>
      </c>
      <c r="H21" s="8">
        <v>44.24830488660276</v>
      </c>
      <c r="I21" s="8">
        <v>40.956149384790507</v>
      </c>
      <c r="J21" s="8">
        <v>40.662503658893549</v>
      </c>
      <c r="K21" s="8">
        <v>40.172604558530651</v>
      </c>
      <c r="L21" s="8">
        <v>37.701067048893137</v>
      </c>
      <c r="M21" s="8" t="s">
        <v>1483</v>
      </c>
      <c r="N21" s="8" t="s">
        <v>1483</v>
      </c>
    </row>
    <row r="22" spans="1:14" x14ac:dyDescent="0.25">
      <c r="A22" s="6" t="s">
        <v>87</v>
      </c>
      <c r="B22" s="7" t="s">
        <v>20</v>
      </c>
      <c r="C22" s="7" t="s">
        <v>21</v>
      </c>
      <c r="D22" s="7" t="s">
        <v>25</v>
      </c>
      <c r="E22" s="8">
        <v>1701</v>
      </c>
      <c r="F22" s="8">
        <v>1815</v>
      </c>
      <c r="G22" s="8">
        <v>1567</v>
      </c>
      <c r="H22" s="8">
        <v>1848</v>
      </c>
      <c r="I22" s="8">
        <v>1997</v>
      </c>
      <c r="J22" s="8">
        <v>2273</v>
      </c>
      <c r="K22" s="8">
        <v>2447</v>
      </c>
      <c r="L22" s="8">
        <v>2656</v>
      </c>
      <c r="M22" s="8">
        <v>2840.0501625000911</v>
      </c>
      <c r="N22" s="8">
        <v>3019.2977356464025</v>
      </c>
    </row>
    <row r="23" spans="1:14" x14ac:dyDescent="0.25">
      <c r="A23" s="6" t="s">
        <v>2064</v>
      </c>
      <c r="B23" s="7" t="s">
        <v>20</v>
      </c>
      <c r="C23" s="7" t="s">
        <v>21</v>
      </c>
      <c r="D23" s="7" t="s">
        <v>25</v>
      </c>
      <c r="E23" s="8">
        <v>12.506433350488935</v>
      </c>
      <c r="F23" s="8">
        <v>12.194302606826122</v>
      </c>
      <c r="G23" s="8">
        <v>10.919099714305624</v>
      </c>
      <c r="H23" s="8">
        <v>10.801963993453356</v>
      </c>
      <c r="I23" s="8">
        <v>10.824434928722424</v>
      </c>
      <c r="J23" s="8">
        <v>11.088886720655674</v>
      </c>
      <c r="K23" s="8">
        <v>10.829829608320425</v>
      </c>
      <c r="L23" s="8">
        <v>10.57493231406275</v>
      </c>
      <c r="M23" s="8" t="s">
        <v>1483</v>
      </c>
      <c r="N23" s="8" t="s">
        <v>1483</v>
      </c>
    </row>
    <row r="24" spans="1:14" x14ac:dyDescent="0.25">
      <c r="A24" s="6" t="s">
        <v>89</v>
      </c>
      <c r="B24" s="7" t="s">
        <v>20</v>
      </c>
      <c r="C24" s="7" t="s">
        <v>21</v>
      </c>
      <c r="D24" s="7" t="s">
        <v>27</v>
      </c>
      <c r="E24" s="8">
        <v>1336</v>
      </c>
      <c r="F24" s="8">
        <v>1383</v>
      </c>
      <c r="G24" s="8">
        <v>1206</v>
      </c>
      <c r="H24" s="8">
        <v>1342</v>
      </c>
      <c r="I24" s="8">
        <v>1413</v>
      </c>
      <c r="J24" s="8">
        <v>1544</v>
      </c>
      <c r="K24" s="8">
        <v>1704</v>
      </c>
      <c r="L24" s="8">
        <v>1865</v>
      </c>
      <c r="M24" s="8">
        <v>1989.2872734694001</v>
      </c>
      <c r="N24" s="8">
        <v>2109.6077859061661</v>
      </c>
    </row>
    <row r="25" spans="1:14" x14ac:dyDescent="0.25">
      <c r="A25" s="6" t="s">
        <v>2064</v>
      </c>
      <c r="B25" s="7" t="s">
        <v>20</v>
      </c>
      <c r="C25" s="7" t="s">
        <v>21</v>
      </c>
      <c r="D25" s="7" t="s">
        <v>27</v>
      </c>
      <c r="E25" s="8">
        <v>9.8228071465333429</v>
      </c>
      <c r="F25" s="8">
        <v>9.2918570276807309</v>
      </c>
      <c r="G25" s="8">
        <v>8.403595568253083</v>
      </c>
      <c r="H25" s="8">
        <v>7.8442833761982698</v>
      </c>
      <c r="I25" s="8">
        <v>7.658951704699442</v>
      </c>
      <c r="J25" s="8">
        <v>7.5324421894819009</v>
      </c>
      <c r="K25" s="8">
        <v>7.5414914804160214</v>
      </c>
      <c r="L25" s="8">
        <v>7.4255454690237297</v>
      </c>
      <c r="M25" s="8" t="s">
        <v>1483</v>
      </c>
      <c r="N25" s="8" t="s">
        <v>1483</v>
      </c>
    </row>
    <row r="26" spans="1:14" x14ac:dyDescent="0.25">
      <c r="A26" s="6" t="s">
        <v>91</v>
      </c>
      <c r="B26" s="7" t="s">
        <v>20</v>
      </c>
      <c r="C26" s="7" t="s">
        <v>21</v>
      </c>
      <c r="D26" s="7" t="s">
        <v>29</v>
      </c>
      <c r="E26" s="8">
        <v>1580</v>
      </c>
      <c r="F26" s="8">
        <v>1639</v>
      </c>
      <c r="G26" s="8">
        <v>1722</v>
      </c>
      <c r="H26" s="8">
        <v>2664</v>
      </c>
      <c r="I26" s="8">
        <v>2807</v>
      </c>
      <c r="J26" s="8">
        <v>3147</v>
      </c>
      <c r="K26" s="8">
        <v>3507</v>
      </c>
      <c r="L26" s="8">
        <v>3948</v>
      </c>
      <c r="M26" s="8">
        <v>4316.7664309786396</v>
      </c>
      <c r="N26" s="8">
        <v>4671.0016670810355</v>
      </c>
    </row>
    <row r="27" spans="1:14" x14ac:dyDescent="0.25">
      <c r="A27" s="6" t="s">
        <v>2064</v>
      </c>
      <c r="B27" s="7" t="s">
        <v>20</v>
      </c>
      <c r="C27" s="7" t="s">
        <v>21</v>
      </c>
      <c r="D27" s="7" t="s">
        <v>29</v>
      </c>
      <c r="E27" s="8">
        <v>11.616792882876259</v>
      </c>
      <c r="F27" s="8">
        <v>11.011824778285407</v>
      </c>
      <c r="G27" s="8">
        <v>11.999163821336492</v>
      </c>
      <c r="H27" s="8">
        <v>15.571662380173018</v>
      </c>
      <c r="I27" s="8">
        <v>15.214916797658409</v>
      </c>
      <c r="J27" s="8">
        <v>15.352717338276905</v>
      </c>
      <c r="K27" s="8">
        <v>15.521132994025226</v>
      </c>
      <c r="L27" s="8">
        <v>15.719063545150501</v>
      </c>
      <c r="M27" s="8" t="s">
        <v>1483</v>
      </c>
      <c r="N27" s="8" t="s">
        <v>1483</v>
      </c>
    </row>
    <row r="28" spans="1:14" x14ac:dyDescent="0.25">
      <c r="A28" s="6" t="s">
        <v>93</v>
      </c>
      <c r="B28" s="7" t="s">
        <v>20</v>
      </c>
      <c r="C28" s="7" t="s">
        <v>21</v>
      </c>
      <c r="D28" s="7" t="s">
        <v>31</v>
      </c>
      <c r="E28" s="8" t="s">
        <v>1483</v>
      </c>
      <c r="F28" s="8" t="s">
        <v>1483</v>
      </c>
      <c r="G28" s="8" t="s">
        <v>1483</v>
      </c>
      <c r="H28" s="8">
        <v>1171.5607500000001</v>
      </c>
      <c r="I28" s="8">
        <v>733</v>
      </c>
      <c r="J28" s="8">
        <v>713</v>
      </c>
      <c r="K28" s="8">
        <v>707</v>
      </c>
      <c r="L28" s="8">
        <v>185</v>
      </c>
      <c r="M28" s="8">
        <v>24</v>
      </c>
      <c r="N28" s="8" t="s">
        <v>1483</v>
      </c>
    </row>
    <row r="29" spans="1:14" x14ac:dyDescent="0.25">
      <c r="A29" s="6" t="s">
        <v>2064</v>
      </c>
      <c r="B29" s="7" t="s">
        <v>20</v>
      </c>
      <c r="C29" s="7" t="s">
        <v>21</v>
      </c>
      <c r="D29" s="7" t="s">
        <v>31</v>
      </c>
      <c r="E29" s="8" t="s">
        <v>1483</v>
      </c>
      <c r="F29" s="8" t="s">
        <v>1483</v>
      </c>
      <c r="G29" s="8" t="s">
        <v>1483</v>
      </c>
      <c r="H29" s="8">
        <v>6.8480287000233808</v>
      </c>
      <c r="I29" s="8">
        <v>3.9731150739877501</v>
      </c>
      <c r="J29" s="8">
        <v>3.4783881354278465</v>
      </c>
      <c r="K29" s="8">
        <v>3.1290108431068822</v>
      </c>
      <c r="L29" s="8">
        <v>0.73658225832138879</v>
      </c>
      <c r="M29" s="8" t="s">
        <v>1483</v>
      </c>
      <c r="N29" s="8" t="s">
        <v>1483</v>
      </c>
    </row>
    <row r="30" spans="1:14" x14ac:dyDescent="0.25">
      <c r="A30" s="6" t="s">
        <v>98</v>
      </c>
      <c r="B30" s="7" t="s">
        <v>20</v>
      </c>
      <c r="C30" s="7" t="s">
        <v>21</v>
      </c>
      <c r="D30" s="7" t="s">
        <v>33</v>
      </c>
      <c r="E30" s="8">
        <v>374</v>
      </c>
      <c r="F30" s="8">
        <v>415</v>
      </c>
      <c r="G30" s="8">
        <v>464</v>
      </c>
      <c r="H30" s="8">
        <v>549</v>
      </c>
      <c r="I30" s="8">
        <v>606</v>
      </c>
      <c r="J30" s="8">
        <v>658</v>
      </c>
      <c r="K30" s="8">
        <v>712</v>
      </c>
      <c r="L30" s="8">
        <v>815</v>
      </c>
      <c r="M30" s="8">
        <v>873.14515497495074</v>
      </c>
      <c r="N30" s="8">
        <v>938.39742630092519</v>
      </c>
    </row>
    <row r="31" spans="1:14" x14ac:dyDescent="0.25">
      <c r="A31" s="6" t="s">
        <v>2064</v>
      </c>
      <c r="B31" s="7" t="s">
        <v>20</v>
      </c>
      <c r="C31" s="7" t="s">
        <v>21</v>
      </c>
      <c r="D31" s="7" t="s">
        <v>33</v>
      </c>
      <c r="E31" s="8">
        <v>2.7497978089846336</v>
      </c>
      <c r="F31" s="8">
        <v>2.7882289707067991</v>
      </c>
      <c r="G31" s="8">
        <v>3.2332241655633753</v>
      </c>
      <c r="H31" s="8">
        <v>3.2090250175356561</v>
      </c>
      <c r="I31" s="8">
        <v>3.2847308797224781</v>
      </c>
      <c r="J31" s="8">
        <v>3.2100692750512243</v>
      </c>
      <c r="K31" s="8">
        <v>3.1511396326620935</v>
      </c>
      <c r="L31" s="8">
        <v>3.2449434623347666</v>
      </c>
      <c r="M31" s="8" t="s">
        <v>1483</v>
      </c>
      <c r="N31" s="8" t="s">
        <v>1483</v>
      </c>
    </row>
    <row r="32" spans="1:14" x14ac:dyDescent="0.25">
      <c r="A32" s="6" t="s">
        <v>2067</v>
      </c>
      <c r="B32" s="7" t="s">
        <v>20</v>
      </c>
      <c r="C32" s="7" t="s">
        <v>21</v>
      </c>
      <c r="D32" s="7" t="s">
        <v>2066</v>
      </c>
      <c r="E32" s="8" t="s">
        <v>1483</v>
      </c>
      <c r="F32" s="8" t="s">
        <v>1483</v>
      </c>
      <c r="G32" s="8" t="s">
        <v>1483</v>
      </c>
      <c r="H32" s="8" t="s">
        <v>1483</v>
      </c>
      <c r="I32" s="8" t="s">
        <v>1483</v>
      </c>
      <c r="J32" s="8" t="s">
        <v>1483</v>
      </c>
      <c r="K32" s="8" t="s">
        <v>1483</v>
      </c>
      <c r="L32" s="8" t="s">
        <v>1483</v>
      </c>
      <c r="M32" s="8" t="s">
        <v>1483</v>
      </c>
      <c r="N32" s="8" t="s">
        <v>1483</v>
      </c>
    </row>
    <row r="33" spans="1:14" x14ac:dyDescent="0.25">
      <c r="A33" s="6" t="s">
        <v>2050</v>
      </c>
      <c r="B33" s="7" t="s">
        <v>20</v>
      </c>
      <c r="C33" s="7" t="s">
        <v>21</v>
      </c>
      <c r="D33" s="7" t="s">
        <v>2066</v>
      </c>
      <c r="E33" s="8" t="s">
        <v>1483</v>
      </c>
      <c r="F33" s="8" t="s">
        <v>1483</v>
      </c>
      <c r="G33" s="8" t="s">
        <v>1483</v>
      </c>
      <c r="H33" s="8" t="s">
        <v>1483</v>
      </c>
      <c r="I33" s="8" t="s">
        <v>1483</v>
      </c>
      <c r="J33" s="8" t="s">
        <v>1483</v>
      </c>
      <c r="K33" s="8" t="s">
        <v>1483</v>
      </c>
      <c r="L33" s="8" t="s">
        <v>1483</v>
      </c>
      <c r="M33" s="8" t="s">
        <v>1483</v>
      </c>
      <c r="N33" s="8" t="s">
        <v>1483</v>
      </c>
    </row>
    <row r="34" spans="1:14" x14ac:dyDescent="0.25">
      <c r="A34" s="6" t="s">
        <v>2092</v>
      </c>
      <c r="B34" s="7" t="s">
        <v>20</v>
      </c>
      <c r="C34" s="7" t="s">
        <v>21</v>
      </c>
      <c r="D34" s="7" t="s">
        <v>80</v>
      </c>
      <c r="E34" s="8">
        <v>828</v>
      </c>
      <c r="F34" s="8">
        <v>1157</v>
      </c>
      <c r="G34" s="8">
        <v>1047</v>
      </c>
      <c r="H34" s="8">
        <v>1167</v>
      </c>
      <c r="I34" s="8">
        <v>1146</v>
      </c>
      <c r="J34" s="8">
        <v>1189</v>
      </c>
      <c r="K34" s="8">
        <v>1097</v>
      </c>
      <c r="L34" s="8">
        <v>269.34232140830534</v>
      </c>
      <c r="M34" s="8">
        <v>280.16786860224227</v>
      </c>
      <c r="N34" s="8">
        <v>1097.3091581130855</v>
      </c>
    </row>
    <row r="35" spans="1:14" x14ac:dyDescent="0.25">
      <c r="A35" s="6" t="s">
        <v>2050</v>
      </c>
      <c r="B35" s="7" t="s">
        <v>20</v>
      </c>
      <c r="C35" s="7" t="s">
        <v>21</v>
      </c>
      <c r="D35" s="7" t="s">
        <v>80</v>
      </c>
      <c r="E35" s="8">
        <v>6.0877876626718628</v>
      </c>
      <c r="F35" s="8">
        <v>7.7734479978500399</v>
      </c>
      <c r="G35" s="8">
        <v>7.2956588391052888</v>
      </c>
      <c r="H35" s="8">
        <v>6.8213701192424594</v>
      </c>
      <c r="I35" s="8">
        <v>6.2117187923464687</v>
      </c>
      <c r="J35" s="8">
        <v>5.8005659088691583</v>
      </c>
      <c r="K35" s="8">
        <v>4.8550564284133655</v>
      </c>
      <c r="L35" s="8">
        <v>1.0723933803484049</v>
      </c>
      <c r="M35" s="8" t="s">
        <v>1483</v>
      </c>
      <c r="N35" s="8" t="s">
        <v>1483</v>
      </c>
    </row>
    <row r="36" spans="1:14" x14ac:dyDescent="0.25">
      <c r="A36" s="6" t="s">
        <v>2049</v>
      </c>
      <c r="B36" s="7"/>
      <c r="C36" s="7"/>
      <c r="D36" s="7"/>
      <c r="E36" s="8"/>
      <c r="F36" s="8"/>
      <c r="G36" s="8"/>
      <c r="H36" s="8"/>
      <c r="I36" s="8"/>
      <c r="J36" s="8"/>
      <c r="K36" s="8"/>
      <c r="L36" s="8"/>
      <c r="M36" s="8"/>
      <c r="N36" s="8"/>
    </row>
    <row r="37" spans="1:14" x14ac:dyDescent="0.25">
      <c r="A37" s="6" t="s">
        <v>2059</v>
      </c>
      <c r="B37" s="7" t="s">
        <v>20</v>
      </c>
      <c r="C37" s="7" t="s">
        <v>21</v>
      </c>
      <c r="D37" s="7" t="s">
        <v>2058</v>
      </c>
      <c r="E37" s="8" t="s">
        <v>1483</v>
      </c>
      <c r="F37" s="8" t="s">
        <v>1483</v>
      </c>
      <c r="G37" s="8" t="s">
        <v>1483</v>
      </c>
      <c r="H37" s="8" t="s">
        <v>1483</v>
      </c>
      <c r="I37" s="8" t="s">
        <v>1483</v>
      </c>
      <c r="J37" s="8" t="s">
        <v>1483</v>
      </c>
      <c r="K37" s="8" t="s">
        <v>1483</v>
      </c>
      <c r="L37" s="8" t="s">
        <v>1483</v>
      </c>
      <c r="M37" s="8" t="s">
        <v>1483</v>
      </c>
      <c r="N37" s="8" t="s">
        <v>1483</v>
      </c>
    </row>
    <row r="38" spans="1:14" x14ac:dyDescent="0.25">
      <c r="A38" s="6" t="s">
        <v>2091</v>
      </c>
      <c r="B38" s="7" t="s">
        <v>20</v>
      </c>
      <c r="C38" s="7" t="s">
        <v>21</v>
      </c>
      <c r="D38" s="7" t="s">
        <v>2090</v>
      </c>
      <c r="E38" s="8">
        <v>1737</v>
      </c>
      <c r="F38" s="8">
        <v>1983</v>
      </c>
      <c r="G38" s="8">
        <v>1945</v>
      </c>
      <c r="H38" s="8" t="s">
        <v>1483</v>
      </c>
      <c r="I38" s="8" t="s">
        <v>1483</v>
      </c>
      <c r="J38" s="8" t="s">
        <v>1483</v>
      </c>
      <c r="K38" s="8" t="s">
        <v>1483</v>
      </c>
      <c r="L38" s="8" t="s">
        <v>1483</v>
      </c>
      <c r="M38" s="8" t="s">
        <v>1483</v>
      </c>
      <c r="N38" s="8" t="s">
        <v>1483</v>
      </c>
    </row>
    <row r="39" spans="1:14" x14ac:dyDescent="0.25">
      <c r="A39" s="6" t="s">
        <v>2048</v>
      </c>
      <c r="B39" s="7" t="s">
        <v>20</v>
      </c>
      <c r="C39" s="7" t="s">
        <v>21</v>
      </c>
      <c r="D39" s="7" t="s">
        <v>2047</v>
      </c>
      <c r="E39" s="8">
        <v>2565</v>
      </c>
      <c r="F39" s="8">
        <v>3140</v>
      </c>
      <c r="G39" s="8">
        <v>2992</v>
      </c>
      <c r="H39" s="8" t="s">
        <v>1483</v>
      </c>
      <c r="I39" s="8" t="s">
        <v>1483</v>
      </c>
      <c r="J39" s="8" t="s">
        <v>1483</v>
      </c>
      <c r="K39" s="8" t="s">
        <v>1483</v>
      </c>
      <c r="L39" s="8" t="s">
        <v>1483</v>
      </c>
      <c r="M39" s="8" t="s">
        <v>1483</v>
      </c>
      <c r="N39" s="8" t="s">
        <v>1483</v>
      </c>
    </row>
    <row r="40" spans="1:14" x14ac:dyDescent="0.25">
      <c r="A40" s="6" t="s">
        <v>2057</v>
      </c>
      <c r="B40" s="7" t="s">
        <v>20</v>
      </c>
      <c r="C40" s="7" t="s">
        <v>21</v>
      </c>
      <c r="D40" s="7" t="s">
        <v>2056</v>
      </c>
      <c r="E40" s="8" t="s">
        <v>1483</v>
      </c>
      <c r="F40" s="8" t="s">
        <v>1483</v>
      </c>
      <c r="G40" s="8" t="s">
        <v>1483</v>
      </c>
      <c r="H40" s="8" t="s">
        <v>1483</v>
      </c>
      <c r="I40" s="8" t="s">
        <v>1483</v>
      </c>
      <c r="J40" s="8" t="s">
        <v>1483</v>
      </c>
      <c r="K40" s="8" t="s">
        <v>1483</v>
      </c>
      <c r="L40" s="8" t="s">
        <v>1483</v>
      </c>
      <c r="M40" s="8" t="s">
        <v>1483</v>
      </c>
      <c r="N40" s="8" t="s">
        <v>1483</v>
      </c>
    </row>
    <row r="41" spans="1:14" x14ac:dyDescent="0.25">
      <c r="A41" s="6" t="s">
        <v>2055</v>
      </c>
      <c r="B41" s="7" t="s">
        <v>20</v>
      </c>
      <c r="C41" s="7" t="s">
        <v>21</v>
      </c>
      <c r="D41" s="7" t="s">
        <v>2054</v>
      </c>
      <c r="E41" s="8" t="s">
        <v>1483</v>
      </c>
      <c r="F41" s="8" t="s">
        <v>1483</v>
      </c>
      <c r="G41" s="8" t="s">
        <v>1483</v>
      </c>
      <c r="H41" s="8" t="s">
        <v>1483</v>
      </c>
      <c r="I41" s="8" t="s">
        <v>1483</v>
      </c>
      <c r="J41" s="8" t="s">
        <v>1483</v>
      </c>
      <c r="K41" s="8" t="s">
        <v>1483</v>
      </c>
      <c r="L41" s="8" t="s">
        <v>1483</v>
      </c>
      <c r="M41" s="8" t="s">
        <v>1483</v>
      </c>
      <c r="N41" s="8" t="s">
        <v>1483</v>
      </c>
    </row>
    <row r="42" spans="1:14" x14ac:dyDescent="0.25">
      <c r="A42" s="6" t="s">
        <v>2085</v>
      </c>
      <c r="B42" s="7" t="s">
        <v>20</v>
      </c>
      <c r="C42" s="7" t="s">
        <v>21</v>
      </c>
      <c r="D42" s="7" t="s">
        <v>2084</v>
      </c>
      <c r="E42" s="8">
        <v>259</v>
      </c>
      <c r="F42" s="8">
        <v>286</v>
      </c>
      <c r="G42" s="8">
        <v>250</v>
      </c>
      <c r="H42" s="8">
        <v>277</v>
      </c>
      <c r="I42" s="8">
        <v>295.45400000000001</v>
      </c>
      <c r="J42" s="8">
        <v>311.47461958435207</v>
      </c>
      <c r="K42" s="8">
        <v>285.84417528178483</v>
      </c>
      <c r="L42" s="8" t="s">
        <v>1483</v>
      </c>
      <c r="M42" s="8" t="s">
        <v>1483</v>
      </c>
      <c r="N42" s="8" t="s">
        <v>1483</v>
      </c>
    </row>
    <row r="43" spans="1:14" x14ac:dyDescent="0.25">
      <c r="A43" s="6" t="s">
        <v>2046</v>
      </c>
      <c r="B43" s="7" t="s">
        <v>20</v>
      </c>
      <c r="C43" s="7" t="s">
        <v>21</v>
      </c>
      <c r="D43" s="7" t="s">
        <v>2045</v>
      </c>
      <c r="E43" s="8">
        <v>4991</v>
      </c>
      <c r="F43" s="8">
        <v>5252</v>
      </c>
      <c r="G43" s="8">
        <v>4959</v>
      </c>
      <c r="H43" s="8">
        <v>7570</v>
      </c>
      <c r="I43" s="8" t="s">
        <v>1483</v>
      </c>
      <c r="J43" s="8" t="s">
        <v>1483</v>
      </c>
      <c r="K43" s="8" t="s">
        <v>1483</v>
      </c>
      <c r="L43" s="8" t="s">
        <v>1483</v>
      </c>
      <c r="M43" s="8" t="s">
        <v>1483</v>
      </c>
      <c r="N43" s="8" t="s">
        <v>1483</v>
      </c>
    </row>
    <row r="44" spans="1:14" x14ac:dyDescent="0.25">
      <c r="A44" s="6" t="s">
        <v>1406</v>
      </c>
      <c r="B44" s="7" t="s">
        <v>20</v>
      </c>
      <c r="C44" s="7" t="s">
        <v>21</v>
      </c>
      <c r="D44" s="7" t="s">
        <v>2044</v>
      </c>
      <c r="E44" s="8">
        <v>6045</v>
      </c>
      <c r="F44" s="8">
        <v>6492</v>
      </c>
      <c r="G44" s="8">
        <v>6400</v>
      </c>
      <c r="H44" s="8">
        <v>9538</v>
      </c>
      <c r="I44" s="8" t="s">
        <v>1483</v>
      </c>
      <c r="J44" s="8" t="s">
        <v>1483</v>
      </c>
      <c r="K44" s="8" t="s">
        <v>1483</v>
      </c>
      <c r="L44" s="8" t="s">
        <v>1483</v>
      </c>
      <c r="M44" s="8" t="s">
        <v>1483</v>
      </c>
      <c r="N44" s="8" t="s">
        <v>1483</v>
      </c>
    </row>
    <row r="45" spans="1:14" x14ac:dyDescent="0.25">
      <c r="A45" s="6" t="s">
        <v>17</v>
      </c>
      <c r="B45" s="7"/>
      <c r="C45" s="7"/>
      <c r="D45" s="7"/>
      <c r="E45" s="8"/>
      <c r="F45" s="8"/>
      <c r="G45" s="8"/>
      <c r="H45" s="8"/>
      <c r="I45" s="8"/>
      <c r="J45" s="8"/>
      <c r="K45" s="8"/>
      <c r="L45" s="8"/>
      <c r="M45" s="8"/>
      <c r="N45" s="8"/>
    </row>
    <row r="46" spans="1:14" x14ac:dyDescent="0.25">
      <c r="A46" s="6" t="s">
        <v>2094</v>
      </c>
      <c r="B46" s="7" t="s">
        <v>75</v>
      </c>
      <c r="C46" s="7" t="s">
        <v>76</v>
      </c>
      <c r="D46" s="7"/>
      <c r="E46" s="8">
        <v>9</v>
      </c>
      <c r="F46" s="8">
        <v>10.7</v>
      </c>
      <c r="G46" s="8">
        <v>3.6</v>
      </c>
      <c r="H46" s="8">
        <v>18.100000000000001</v>
      </c>
      <c r="I46" s="8">
        <v>11</v>
      </c>
      <c r="J46" s="8">
        <v>11.6</v>
      </c>
      <c r="K46" s="8">
        <v>10.7</v>
      </c>
      <c r="L46" s="8" t="s">
        <v>1483</v>
      </c>
      <c r="M46" s="8" t="s">
        <v>1483</v>
      </c>
      <c r="N46" s="8" t="s">
        <v>1483</v>
      </c>
    </row>
    <row r="47" spans="1:14" x14ac:dyDescent="0.25">
      <c r="A47" s="6" t="s">
        <v>100</v>
      </c>
      <c r="B47" s="7" t="s">
        <v>75</v>
      </c>
      <c r="C47" s="7" t="s">
        <v>76</v>
      </c>
      <c r="D47" s="7" t="s">
        <v>35</v>
      </c>
      <c r="E47" s="8">
        <v>8.3814946827659806</v>
      </c>
      <c r="F47" s="8">
        <v>9.9681392784806064</v>
      </c>
      <c r="G47" s="8">
        <v>-1.5</v>
      </c>
      <c r="H47" s="8">
        <v>13.3</v>
      </c>
      <c r="I47" s="8">
        <v>14.1</v>
      </c>
      <c r="J47" s="8">
        <v>12.2</v>
      </c>
      <c r="K47" s="8">
        <v>11.6</v>
      </c>
      <c r="L47" s="8">
        <v>15.4</v>
      </c>
      <c r="M47" s="8">
        <v>10.372363516435099</v>
      </c>
      <c r="N47" s="8">
        <v>8.829846169739751</v>
      </c>
    </row>
    <row r="48" spans="1:14" x14ac:dyDescent="0.25">
      <c r="A48" s="6" t="s">
        <v>2050</v>
      </c>
      <c r="B48" s="7" t="s">
        <v>75</v>
      </c>
      <c r="C48" s="7" t="s">
        <v>76</v>
      </c>
      <c r="D48" s="7" t="s">
        <v>35</v>
      </c>
      <c r="E48" s="8">
        <v>93.127718697399786</v>
      </c>
      <c r="F48" s="8">
        <v>93.160180172715954</v>
      </c>
      <c r="G48" s="8">
        <v>-41.666666666666664</v>
      </c>
      <c r="H48" s="8">
        <v>73.480662983425404</v>
      </c>
      <c r="I48" s="8">
        <v>128.18181818181819</v>
      </c>
      <c r="J48" s="8">
        <v>105.17241379310344</v>
      </c>
      <c r="K48" s="8">
        <v>108.41121495327104</v>
      </c>
      <c r="L48" s="8" t="s">
        <v>1483</v>
      </c>
      <c r="M48" s="8" t="s">
        <v>1483</v>
      </c>
      <c r="N48" s="8" t="s">
        <v>1483</v>
      </c>
    </row>
    <row r="49" spans="1:14" x14ac:dyDescent="0.25">
      <c r="A49" s="6" t="s">
        <v>102</v>
      </c>
      <c r="B49" s="7" t="s">
        <v>75</v>
      </c>
      <c r="C49" s="7" t="s">
        <v>76</v>
      </c>
      <c r="D49" s="7" t="s">
        <v>37</v>
      </c>
      <c r="E49" s="8">
        <v>8.4</v>
      </c>
      <c r="F49" s="8">
        <v>13.1</v>
      </c>
      <c r="G49" s="8">
        <v>-5</v>
      </c>
      <c r="H49" s="8">
        <v>12.5</v>
      </c>
      <c r="I49" s="8">
        <v>10.4</v>
      </c>
      <c r="J49" s="8">
        <v>13</v>
      </c>
      <c r="K49" s="8">
        <v>12.1</v>
      </c>
      <c r="L49" s="8">
        <v>11.9</v>
      </c>
      <c r="M49" s="8">
        <v>9.5434232983700831</v>
      </c>
      <c r="N49" s="8">
        <v>8.5851083948874436</v>
      </c>
    </row>
    <row r="50" spans="1:14" x14ac:dyDescent="0.25">
      <c r="A50" s="6" t="s">
        <v>2064</v>
      </c>
      <c r="B50" s="7" t="s">
        <v>75</v>
      </c>
      <c r="C50" s="7" t="s">
        <v>76</v>
      </c>
      <c r="D50" s="7" t="s">
        <v>37</v>
      </c>
      <c r="E50" s="8">
        <v>93.333333333333329</v>
      </c>
      <c r="F50" s="8">
        <v>122.42990654205609</v>
      </c>
      <c r="G50" s="8">
        <v>-138.88888888888889</v>
      </c>
      <c r="H50" s="8">
        <v>69.060773480662974</v>
      </c>
      <c r="I50" s="8">
        <v>94.545454545454547</v>
      </c>
      <c r="J50" s="8">
        <v>112.06896551724138</v>
      </c>
      <c r="K50" s="8">
        <v>113.08411214953271</v>
      </c>
      <c r="L50" s="8" t="s">
        <v>1483</v>
      </c>
      <c r="M50" s="8" t="s">
        <v>1483</v>
      </c>
      <c r="N50" s="8" t="s">
        <v>1483</v>
      </c>
    </row>
    <row r="51" spans="1:14" x14ac:dyDescent="0.25">
      <c r="A51" s="6" t="s">
        <v>104</v>
      </c>
      <c r="B51" s="7" t="s">
        <v>75</v>
      </c>
      <c r="C51" s="7" t="s">
        <v>76</v>
      </c>
      <c r="D51" s="7" t="s">
        <v>39</v>
      </c>
      <c r="E51" s="8">
        <v>11.9</v>
      </c>
      <c r="F51" s="8">
        <v>8.6</v>
      </c>
      <c r="G51" s="8">
        <v>-11</v>
      </c>
      <c r="H51" s="8">
        <v>20.8</v>
      </c>
      <c r="I51" s="8">
        <v>15.9</v>
      </c>
      <c r="J51" s="8">
        <v>11.7</v>
      </c>
      <c r="K51" s="8">
        <v>11</v>
      </c>
      <c r="L51" s="8">
        <v>12.3</v>
      </c>
      <c r="M51" s="8">
        <v>9.3885850624002494</v>
      </c>
      <c r="N51" s="8">
        <v>8.5840937986196657</v>
      </c>
    </row>
    <row r="52" spans="1:14" x14ac:dyDescent="0.25">
      <c r="A52" s="6" t="s">
        <v>2064</v>
      </c>
      <c r="B52" s="7" t="s">
        <v>75</v>
      </c>
      <c r="C52" s="7" t="s">
        <v>76</v>
      </c>
      <c r="D52" s="7" t="s">
        <v>39</v>
      </c>
      <c r="E52" s="8">
        <v>132.22222222222223</v>
      </c>
      <c r="F52" s="8">
        <v>80.373831775700936</v>
      </c>
      <c r="G52" s="8">
        <v>-305.55555555555554</v>
      </c>
      <c r="H52" s="8">
        <v>114.9171270718232</v>
      </c>
      <c r="I52" s="8">
        <v>144.54545454545453</v>
      </c>
      <c r="J52" s="8">
        <v>100.86206896551724</v>
      </c>
      <c r="K52" s="8">
        <v>102.80373831775701</v>
      </c>
      <c r="L52" s="8" t="s">
        <v>1483</v>
      </c>
      <c r="M52" s="8" t="s">
        <v>1483</v>
      </c>
      <c r="N52" s="8" t="s">
        <v>1483</v>
      </c>
    </row>
    <row r="53" spans="1:14" x14ac:dyDescent="0.25">
      <c r="A53" s="6" t="s">
        <v>106</v>
      </c>
      <c r="B53" s="7" t="s">
        <v>75</v>
      </c>
      <c r="C53" s="7" t="s">
        <v>76</v>
      </c>
      <c r="D53" s="7" t="s">
        <v>41</v>
      </c>
      <c r="E53" s="8">
        <v>7.5</v>
      </c>
      <c r="F53" s="8">
        <v>8.1</v>
      </c>
      <c r="G53" s="8">
        <v>11.8</v>
      </c>
      <c r="H53" s="8">
        <v>2.2000000000000002</v>
      </c>
      <c r="I53" s="8">
        <v>18.600000000000001</v>
      </c>
      <c r="J53" s="8">
        <v>14.4</v>
      </c>
      <c r="K53" s="8">
        <v>11.7</v>
      </c>
      <c r="L53" s="8">
        <v>8.8000000000000007</v>
      </c>
      <c r="M53" s="8">
        <v>9.5037761541836758</v>
      </c>
      <c r="N53" s="8">
        <v>8.8672094998895954</v>
      </c>
    </row>
    <row r="54" spans="1:14" x14ac:dyDescent="0.25">
      <c r="A54" s="6" t="s">
        <v>2064</v>
      </c>
      <c r="B54" s="7" t="s">
        <v>75</v>
      </c>
      <c r="C54" s="7" t="s">
        <v>76</v>
      </c>
      <c r="D54" s="7" t="s">
        <v>41</v>
      </c>
      <c r="E54" s="8">
        <v>83.333333333333329</v>
      </c>
      <c r="F54" s="8">
        <v>75.700934579439263</v>
      </c>
      <c r="G54" s="8">
        <v>327.77777777777777</v>
      </c>
      <c r="H54" s="8">
        <v>12.154696132596685</v>
      </c>
      <c r="I54" s="8">
        <v>169.09090909090912</v>
      </c>
      <c r="J54" s="8">
        <v>124.13793103448276</v>
      </c>
      <c r="K54" s="8">
        <v>109.34579439252337</v>
      </c>
      <c r="L54" s="8" t="s">
        <v>1483</v>
      </c>
      <c r="M54" s="8" t="s">
        <v>1483</v>
      </c>
      <c r="N54" s="8" t="s">
        <v>1483</v>
      </c>
    </row>
    <row r="55" spans="1:14" x14ac:dyDescent="0.25">
      <c r="A55" s="6" t="s">
        <v>108</v>
      </c>
      <c r="B55" s="7" t="s">
        <v>75</v>
      </c>
      <c r="C55" s="7" t="s">
        <v>76</v>
      </c>
      <c r="D55" s="7" t="s">
        <v>43</v>
      </c>
      <c r="E55" s="8">
        <v>22.389075452478252</v>
      </c>
      <c r="F55" s="8">
        <v>13.116629582653795</v>
      </c>
      <c r="G55" s="8">
        <v>4.9000000000000004</v>
      </c>
      <c r="H55" s="8">
        <v>19.5</v>
      </c>
      <c r="I55" s="8">
        <v>7.2</v>
      </c>
      <c r="J55" s="8">
        <v>4</v>
      </c>
      <c r="K55" s="8">
        <v>8.1999999999999993</v>
      </c>
      <c r="L55" s="8">
        <v>50</v>
      </c>
      <c r="M55" s="8">
        <v>13.881297243838876</v>
      </c>
      <c r="N55" s="8">
        <v>8.894109196263166</v>
      </c>
    </row>
    <row r="56" spans="1:14" x14ac:dyDescent="0.25">
      <c r="A56" s="6" t="s">
        <v>2064</v>
      </c>
      <c r="B56" s="7" t="s">
        <v>75</v>
      </c>
      <c r="C56" s="7" t="s">
        <v>76</v>
      </c>
      <c r="D56" s="7" t="s">
        <v>43</v>
      </c>
      <c r="E56" s="8">
        <v>248.76750502753612</v>
      </c>
      <c r="F56" s="8">
        <v>122.58532320237192</v>
      </c>
      <c r="G56" s="8">
        <v>136.11111111111111</v>
      </c>
      <c r="H56" s="8">
        <v>107.73480662983424</v>
      </c>
      <c r="I56" s="8">
        <v>65.454545454545453</v>
      </c>
      <c r="J56" s="8">
        <v>34.482758620689658</v>
      </c>
      <c r="K56" s="8">
        <v>76.63551401869158</v>
      </c>
      <c r="L56" s="8" t="s">
        <v>1483</v>
      </c>
      <c r="M56" s="8" t="s">
        <v>1483</v>
      </c>
      <c r="N56" s="8" t="s">
        <v>1483</v>
      </c>
    </row>
    <row r="57" spans="1:14" x14ac:dyDescent="0.25">
      <c r="A57" s="6" t="s">
        <v>110</v>
      </c>
      <c r="B57" s="7" t="s">
        <v>75</v>
      </c>
      <c r="C57" s="7" t="s">
        <v>76</v>
      </c>
      <c r="D57" s="7" t="s">
        <v>45</v>
      </c>
      <c r="E57" s="8" t="s">
        <v>1483</v>
      </c>
      <c r="F57" s="8" t="s">
        <v>1483</v>
      </c>
      <c r="G57" s="8">
        <v>-8.3000000000000007</v>
      </c>
      <c r="H57" s="8">
        <v>24.3</v>
      </c>
      <c r="I57" s="8">
        <v>15.4</v>
      </c>
      <c r="J57" s="8">
        <v>13.4</v>
      </c>
      <c r="K57" s="8">
        <v>14.1</v>
      </c>
      <c r="L57" s="8">
        <v>15.9</v>
      </c>
      <c r="M57" s="8">
        <v>10.658548227900054</v>
      </c>
      <c r="N57" s="8">
        <v>9.2600708507132268</v>
      </c>
    </row>
    <row r="58" spans="1:14" x14ac:dyDescent="0.25">
      <c r="A58" s="6" t="s">
        <v>2064</v>
      </c>
      <c r="B58" s="7" t="s">
        <v>75</v>
      </c>
      <c r="C58" s="7" t="s">
        <v>76</v>
      </c>
      <c r="D58" s="7" t="s">
        <v>45</v>
      </c>
      <c r="E58" s="8" t="s">
        <v>1483</v>
      </c>
      <c r="F58" s="8" t="s">
        <v>1483</v>
      </c>
      <c r="G58" s="8">
        <v>-230.55555555555557</v>
      </c>
      <c r="H58" s="8">
        <v>134.25414364640883</v>
      </c>
      <c r="I58" s="8">
        <v>140</v>
      </c>
      <c r="J58" s="8">
        <v>115.51724137931035</v>
      </c>
      <c r="K58" s="8">
        <v>131.77570093457945</v>
      </c>
      <c r="L58" s="8" t="s">
        <v>1483</v>
      </c>
      <c r="M58" s="8" t="s">
        <v>1483</v>
      </c>
      <c r="N58" s="8" t="s">
        <v>1483</v>
      </c>
    </row>
    <row r="59" spans="1:14" x14ac:dyDescent="0.25">
      <c r="A59" s="6" t="s">
        <v>98</v>
      </c>
      <c r="B59" s="7" t="s">
        <v>75</v>
      </c>
      <c r="C59" s="7" t="s">
        <v>76</v>
      </c>
      <c r="D59" s="7" t="s">
        <v>2093</v>
      </c>
      <c r="E59" s="8">
        <v>3.1528961571924752</v>
      </c>
      <c r="F59" s="8">
        <v>10.229299282228187</v>
      </c>
      <c r="G59" s="8">
        <v>-12.3</v>
      </c>
      <c r="H59" s="8">
        <v>10.3</v>
      </c>
      <c r="I59" s="8">
        <v>9.3000000000000007</v>
      </c>
      <c r="J59" s="8" t="s">
        <v>1483</v>
      </c>
      <c r="K59" s="8">
        <v>30.049562163093963</v>
      </c>
      <c r="L59" s="8" t="s">
        <v>1483</v>
      </c>
      <c r="M59" s="8" t="s">
        <v>1483</v>
      </c>
      <c r="N59" s="8" t="s">
        <v>1483</v>
      </c>
    </row>
    <row r="60" spans="1:14" x14ac:dyDescent="0.25">
      <c r="A60" s="6" t="s">
        <v>2064</v>
      </c>
      <c r="B60" s="7" t="s">
        <v>75</v>
      </c>
      <c r="C60" s="7" t="s">
        <v>76</v>
      </c>
      <c r="D60" s="7" t="s">
        <v>2093</v>
      </c>
      <c r="E60" s="8">
        <v>35.032179524360835</v>
      </c>
      <c r="F60" s="8">
        <v>95.600927871291475</v>
      </c>
      <c r="G60" s="8">
        <v>-341.66666666666669</v>
      </c>
      <c r="H60" s="8">
        <v>56.906077348066297</v>
      </c>
      <c r="I60" s="8">
        <v>84.545454545454561</v>
      </c>
      <c r="J60" s="8" t="s">
        <v>1483</v>
      </c>
      <c r="K60" s="8">
        <v>280.83702956162585</v>
      </c>
      <c r="L60" s="8" t="s">
        <v>1483</v>
      </c>
      <c r="M60" s="8" t="s">
        <v>1483</v>
      </c>
      <c r="N60" s="8" t="s">
        <v>1483</v>
      </c>
    </row>
    <row r="61" spans="1:14" x14ac:dyDescent="0.25">
      <c r="A61" s="6" t="s">
        <v>85</v>
      </c>
      <c r="B61" s="7" t="s">
        <v>75</v>
      </c>
      <c r="C61" s="7" t="s">
        <v>76</v>
      </c>
      <c r="D61" s="7" t="s">
        <v>22</v>
      </c>
      <c r="E61" s="8">
        <v>5.0590472996337787</v>
      </c>
      <c r="F61" s="8">
        <v>6.4299316643616313</v>
      </c>
      <c r="G61" s="8">
        <v>-6.4</v>
      </c>
      <c r="H61" s="8">
        <v>24.8</v>
      </c>
      <c r="I61" s="8">
        <v>7</v>
      </c>
      <c r="J61" s="8">
        <v>10.9</v>
      </c>
      <c r="K61" s="8">
        <v>9.4</v>
      </c>
      <c r="L61" s="8">
        <v>3.8</v>
      </c>
      <c r="M61" s="8">
        <v>6.2311648959264927</v>
      </c>
      <c r="N61" s="8">
        <v>7.6879714779072446</v>
      </c>
    </row>
    <row r="62" spans="1:14" x14ac:dyDescent="0.25">
      <c r="A62" s="6" t="s">
        <v>2050</v>
      </c>
      <c r="B62" s="7" t="s">
        <v>75</v>
      </c>
      <c r="C62" s="7" t="s">
        <v>76</v>
      </c>
      <c r="D62" s="7" t="s">
        <v>22</v>
      </c>
      <c r="E62" s="8">
        <v>56.211636662597542</v>
      </c>
      <c r="F62" s="8">
        <v>60.092819293099367</v>
      </c>
      <c r="G62" s="8">
        <v>-177.77777777777777</v>
      </c>
      <c r="H62" s="8">
        <v>137.01657458563534</v>
      </c>
      <c r="I62" s="8">
        <v>63.636363636363633</v>
      </c>
      <c r="J62" s="8">
        <v>93.965517241379317</v>
      </c>
      <c r="K62" s="8">
        <v>87.850467289719631</v>
      </c>
      <c r="L62" s="8" t="s">
        <v>1483</v>
      </c>
      <c r="M62" s="8" t="s">
        <v>1483</v>
      </c>
      <c r="N62" s="8" t="s">
        <v>1483</v>
      </c>
    </row>
    <row r="63" spans="1:14" x14ac:dyDescent="0.25">
      <c r="A63" s="6" t="s">
        <v>87</v>
      </c>
      <c r="B63" s="7" t="s">
        <v>75</v>
      </c>
      <c r="C63" s="7" t="s">
        <v>76</v>
      </c>
      <c r="D63" s="7" t="s">
        <v>25</v>
      </c>
      <c r="E63" s="8">
        <v>6.3</v>
      </c>
      <c r="F63" s="8">
        <v>8.1</v>
      </c>
      <c r="G63" s="8">
        <v>-13.7</v>
      </c>
      <c r="H63" s="8">
        <v>16.899999999999999</v>
      </c>
      <c r="I63" s="8">
        <v>11.2</v>
      </c>
      <c r="J63" s="8">
        <v>14.4</v>
      </c>
      <c r="K63" s="8">
        <v>8.1999999999999993</v>
      </c>
      <c r="L63" s="8">
        <v>8.1999999999999993</v>
      </c>
      <c r="M63" s="8">
        <v>6.9176036603855433</v>
      </c>
      <c r="N63" s="8">
        <v>6.1508638219005922</v>
      </c>
    </row>
    <row r="64" spans="1:14" x14ac:dyDescent="0.25">
      <c r="A64" s="6" t="s">
        <v>2064</v>
      </c>
      <c r="B64" s="7" t="s">
        <v>75</v>
      </c>
      <c r="C64" s="7" t="s">
        <v>76</v>
      </c>
      <c r="D64" s="7" t="s">
        <v>25</v>
      </c>
      <c r="E64" s="8">
        <v>70</v>
      </c>
      <c r="F64" s="8">
        <v>75.700934579439263</v>
      </c>
      <c r="G64" s="8">
        <v>-380.55555555555554</v>
      </c>
      <c r="H64" s="8">
        <v>93.37016574585634</v>
      </c>
      <c r="I64" s="8">
        <v>101.81818181818181</v>
      </c>
      <c r="J64" s="8">
        <v>124.13793103448276</v>
      </c>
      <c r="K64" s="8">
        <v>76.63551401869158</v>
      </c>
      <c r="L64" s="8" t="s">
        <v>1483</v>
      </c>
      <c r="M64" s="8" t="s">
        <v>1483</v>
      </c>
      <c r="N64" s="8" t="s">
        <v>1483</v>
      </c>
    </row>
    <row r="65" spans="1:14" x14ac:dyDescent="0.25">
      <c r="A65" s="6" t="s">
        <v>89</v>
      </c>
      <c r="B65" s="7" t="s">
        <v>75</v>
      </c>
      <c r="C65" s="7" t="s">
        <v>76</v>
      </c>
      <c r="D65" s="7" t="s">
        <v>27</v>
      </c>
      <c r="E65" s="8">
        <v>2.1</v>
      </c>
      <c r="F65" s="8">
        <v>5.2</v>
      </c>
      <c r="G65" s="8">
        <v>-12.7</v>
      </c>
      <c r="H65" s="8">
        <v>9.9</v>
      </c>
      <c r="I65" s="8">
        <v>10.1</v>
      </c>
      <c r="J65" s="8">
        <v>10.4</v>
      </c>
      <c r="K65" s="8">
        <v>11.3</v>
      </c>
      <c r="L65" s="8">
        <v>8.9</v>
      </c>
      <c r="M65" s="8">
        <v>6.6741450399034079</v>
      </c>
      <c r="N65" s="8">
        <v>6.1965386084005498</v>
      </c>
    </row>
    <row r="66" spans="1:14" x14ac:dyDescent="0.25">
      <c r="A66" s="6" t="s">
        <v>2064</v>
      </c>
      <c r="B66" s="7" t="s">
        <v>75</v>
      </c>
      <c r="C66" s="7" t="s">
        <v>76</v>
      </c>
      <c r="D66" s="7" t="s">
        <v>27</v>
      </c>
      <c r="E66" s="8">
        <v>23.333333333333332</v>
      </c>
      <c r="F66" s="8">
        <v>48.598130841121495</v>
      </c>
      <c r="G66" s="8">
        <v>-352.77777777777777</v>
      </c>
      <c r="H66" s="8">
        <v>54.696132596685075</v>
      </c>
      <c r="I66" s="8">
        <v>91.818181818181813</v>
      </c>
      <c r="J66" s="8">
        <v>89.65517241379311</v>
      </c>
      <c r="K66" s="8">
        <v>105.60747663551403</v>
      </c>
      <c r="L66" s="8" t="s">
        <v>1483</v>
      </c>
      <c r="M66" s="8" t="s">
        <v>1483</v>
      </c>
      <c r="N66" s="8" t="s">
        <v>1483</v>
      </c>
    </row>
    <row r="67" spans="1:14" x14ac:dyDescent="0.25">
      <c r="A67" s="6" t="s">
        <v>91</v>
      </c>
      <c r="B67" s="7" t="s">
        <v>75</v>
      </c>
      <c r="C67" s="7" t="s">
        <v>76</v>
      </c>
      <c r="D67" s="7" t="s">
        <v>29</v>
      </c>
      <c r="E67" s="8">
        <v>6.2</v>
      </c>
      <c r="F67" s="8">
        <v>5.2</v>
      </c>
      <c r="G67" s="8">
        <v>4.7</v>
      </c>
      <c r="H67" s="8">
        <v>53</v>
      </c>
      <c r="I67" s="8">
        <v>8.6999999999999993</v>
      </c>
      <c r="J67" s="8">
        <v>12.2</v>
      </c>
      <c r="K67" s="8">
        <v>11.6</v>
      </c>
      <c r="L67" s="8">
        <v>11.8</v>
      </c>
      <c r="M67" s="8">
        <v>8.8134107254465217</v>
      </c>
      <c r="N67" s="8">
        <v>8.3396247002676276</v>
      </c>
    </row>
    <row r="68" spans="1:14" x14ac:dyDescent="0.25">
      <c r="A68" s="6" t="s">
        <v>2064</v>
      </c>
      <c r="B68" s="7" t="s">
        <v>75</v>
      </c>
      <c r="C68" s="7" t="s">
        <v>76</v>
      </c>
      <c r="D68" s="7" t="s">
        <v>29</v>
      </c>
      <c r="E68" s="8">
        <v>68.888888888888886</v>
      </c>
      <c r="F68" s="8">
        <v>48.598130841121495</v>
      </c>
      <c r="G68" s="8">
        <v>130.55555555555554</v>
      </c>
      <c r="H68" s="8">
        <v>292.81767955801104</v>
      </c>
      <c r="I68" s="8">
        <v>79.090909090909079</v>
      </c>
      <c r="J68" s="8">
        <v>105.17241379310344</v>
      </c>
      <c r="K68" s="8">
        <v>108.41121495327104</v>
      </c>
      <c r="L68" s="8" t="s">
        <v>1483</v>
      </c>
      <c r="M68" s="8" t="s">
        <v>1483</v>
      </c>
      <c r="N68" s="8" t="s">
        <v>1483</v>
      </c>
    </row>
    <row r="69" spans="1:14" x14ac:dyDescent="0.25">
      <c r="A69" s="6" t="s">
        <v>93</v>
      </c>
      <c r="B69" s="7" t="s">
        <v>75</v>
      </c>
      <c r="C69" s="7" t="s">
        <v>76</v>
      </c>
      <c r="D69" s="7" t="s">
        <v>31</v>
      </c>
      <c r="E69" s="8" t="s">
        <v>1483</v>
      </c>
      <c r="F69" s="8" t="s">
        <v>1483</v>
      </c>
      <c r="G69" s="8" t="s">
        <v>1483</v>
      </c>
      <c r="H69" s="8" t="s">
        <v>1483</v>
      </c>
      <c r="I69" s="8" t="s">
        <v>1483</v>
      </c>
      <c r="J69" s="8">
        <v>-2</v>
      </c>
      <c r="K69" s="8">
        <v>-0.3</v>
      </c>
      <c r="L69" s="8">
        <v>-73.900000000000006</v>
      </c>
      <c r="M69" s="8" t="s">
        <v>1483</v>
      </c>
      <c r="N69" s="8" t="s">
        <v>1483</v>
      </c>
    </row>
    <row r="70" spans="1:14" x14ac:dyDescent="0.25">
      <c r="A70" s="6" t="s">
        <v>2064</v>
      </c>
      <c r="B70" s="7" t="s">
        <v>75</v>
      </c>
      <c r="C70" s="7" t="s">
        <v>76</v>
      </c>
      <c r="D70" s="7" t="s">
        <v>31</v>
      </c>
      <c r="E70" s="8" t="s">
        <v>1483</v>
      </c>
      <c r="F70" s="8" t="s">
        <v>1483</v>
      </c>
      <c r="G70" s="8" t="s">
        <v>1483</v>
      </c>
      <c r="H70" s="8" t="s">
        <v>1483</v>
      </c>
      <c r="I70" s="8" t="s">
        <v>1483</v>
      </c>
      <c r="J70" s="8">
        <v>-17.241379310344829</v>
      </c>
      <c r="K70" s="8">
        <v>-2.8037383177570097</v>
      </c>
      <c r="L70" s="8" t="s">
        <v>1483</v>
      </c>
      <c r="M70" s="8" t="s">
        <v>1483</v>
      </c>
      <c r="N70" s="8" t="s">
        <v>1483</v>
      </c>
    </row>
    <row r="71" spans="1:14" x14ac:dyDescent="0.25">
      <c r="A71" s="6" t="s">
        <v>98</v>
      </c>
      <c r="B71" s="7" t="s">
        <v>75</v>
      </c>
      <c r="C71" s="7" t="s">
        <v>76</v>
      </c>
      <c r="D71" s="7" t="s">
        <v>33</v>
      </c>
      <c r="E71" s="8">
        <v>11</v>
      </c>
      <c r="F71" s="8">
        <v>12</v>
      </c>
      <c r="G71" s="8">
        <v>11.4</v>
      </c>
      <c r="H71" s="8">
        <v>18</v>
      </c>
      <c r="I71" s="8">
        <v>-10.3</v>
      </c>
      <c r="J71" s="8">
        <v>9.5</v>
      </c>
      <c r="K71" s="8">
        <v>9.6</v>
      </c>
      <c r="L71" s="8">
        <v>14</v>
      </c>
      <c r="M71" s="8">
        <v>8.2378765926082167</v>
      </c>
      <c r="N71" s="8">
        <v>7.8160894838053876</v>
      </c>
    </row>
    <row r="72" spans="1:14" x14ac:dyDescent="0.25">
      <c r="A72" s="6" t="s">
        <v>2064</v>
      </c>
      <c r="B72" s="7" t="s">
        <v>75</v>
      </c>
      <c r="C72" s="7" t="s">
        <v>76</v>
      </c>
      <c r="D72" s="7" t="s">
        <v>33</v>
      </c>
      <c r="E72" s="8">
        <v>122.22222222222223</v>
      </c>
      <c r="F72" s="8">
        <v>112.14953271028038</v>
      </c>
      <c r="G72" s="8">
        <v>316.66666666666669</v>
      </c>
      <c r="H72" s="8">
        <v>99.447513812154682</v>
      </c>
      <c r="I72" s="8">
        <v>-93.63636363636364</v>
      </c>
      <c r="J72" s="8">
        <v>81.896551724137936</v>
      </c>
      <c r="K72" s="8">
        <v>89.719626168224309</v>
      </c>
      <c r="L72" s="8" t="s">
        <v>1483</v>
      </c>
      <c r="M72" s="8" t="s">
        <v>1483</v>
      </c>
      <c r="N72" s="8" t="s">
        <v>1483</v>
      </c>
    </row>
    <row r="73" spans="1:14" x14ac:dyDescent="0.25">
      <c r="A73" s="6" t="s">
        <v>2092</v>
      </c>
      <c r="B73" s="7" t="s">
        <v>75</v>
      </c>
      <c r="C73" s="7" t="s">
        <v>76</v>
      </c>
      <c r="D73" s="7" t="s">
        <v>80</v>
      </c>
      <c r="E73" s="8">
        <v>9.9</v>
      </c>
      <c r="F73" s="8">
        <v>32.299999999999997</v>
      </c>
      <c r="G73" s="8">
        <v>-9.6</v>
      </c>
      <c r="H73" s="8">
        <v>10.5</v>
      </c>
      <c r="I73" s="8">
        <v>1.1000000000000001</v>
      </c>
      <c r="J73" s="8">
        <v>4</v>
      </c>
      <c r="K73" s="8">
        <v>4.7453618780152622</v>
      </c>
      <c r="L73" s="8">
        <v>-57.770162313402665</v>
      </c>
      <c r="M73" s="8">
        <v>-99.994770136808867</v>
      </c>
      <c r="N73" s="8" t="s">
        <v>1483</v>
      </c>
    </row>
    <row r="74" spans="1:14" x14ac:dyDescent="0.25">
      <c r="A74" s="6" t="s">
        <v>2050</v>
      </c>
      <c r="B74" s="7" t="s">
        <v>75</v>
      </c>
      <c r="C74" s="7" t="s">
        <v>76</v>
      </c>
      <c r="D74" s="7" t="s">
        <v>80</v>
      </c>
      <c r="E74" s="8">
        <v>110</v>
      </c>
      <c r="F74" s="8">
        <v>301.86915887850466</v>
      </c>
      <c r="G74" s="8">
        <v>-266.66666666666669</v>
      </c>
      <c r="H74" s="8">
        <v>58.011049723756905</v>
      </c>
      <c r="I74" s="8">
        <v>10.000000000000002</v>
      </c>
      <c r="J74" s="8">
        <v>34.482758620689658</v>
      </c>
      <c r="K74" s="8">
        <v>44.349176430049184</v>
      </c>
      <c r="L74" s="8" t="s">
        <v>1483</v>
      </c>
      <c r="M74" s="8" t="s">
        <v>1483</v>
      </c>
      <c r="N74" s="8" t="s">
        <v>1483</v>
      </c>
    </row>
    <row r="75" spans="1:14" x14ac:dyDescent="0.25">
      <c r="A75" s="6" t="s">
        <v>2049</v>
      </c>
      <c r="B75" s="7"/>
      <c r="C75" s="7"/>
      <c r="D75" s="7"/>
      <c r="E75" s="8"/>
      <c r="F75" s="8"/>
      <c r="G75" s="8"/>
      <c r="H75" s="8"/>
      <c r="I75" s="8"/>
      <c r="J75" s="8"/>
      <c r="K75" s="8"/>
      <c r="L75" s="8"/>
      <c r="M75" s="8"/>
      <c r="N75" s="8"/>
    </row>
    <row r="76" spans="1:14" x14ac:dyDescent="0.25">
      <c r="A76" s="6" t="s">
        <v>2059</v>
      </c>
      <c r="B76" s="7" t="s">
        <v>75</v>
      </c>
      <c r="C76" s="7" t="s">
        <v>76</v>
      </c>
      <c r="D76" s="7" t="s">
        <v>2058</v>
      </c>
      <c r="E76" s="8" t="s">
        <v>1483</v>
      </c>
      <c r="F76" s="8" t="s">
        <v>1483</v>
      </c>
      <c r="G76" s="8" t="s">
        <v>1483</v>
      </c>
      <c r="H76" s="8" t="s">
        <v>1483</v>
      </c>
      <c r="I76" s="8" t="s">
        <v>1483</v>
      </c>
      <c r="J76" s="8" t="s">
        <v>1483</v>
      </c>
      <c r="K76" s="8" t="s">
        <v>1483</v>
      </c>
      <c r="L76" s="8" t="s">
        <v>1483</v>
      </c>
      <c r="M76" s="8" t="s">
        <v>1483</v>
      </c>
      <c r="N76" s="8" t="s">
        <v>1483</v>
      </c>
    </row>
    <row r="77" spans="1:14" x14ac:dyDescent="0.25">
      <c r="A77" s="6" t="s">
        <v>2091</v>
      </c>
      <c r="B77" s="7" t="s">
        <v>75</v>
      </c>
      <c r="C77" s="7" t="s">
        <v>76</v>
      </c>
      <c r="D77" s="7" t="s">
        <v>2090</v>
      </c>
      <c r="E77" s="8">
        <v>21.4</v>
      </c>
      <c r="F77" s="8">
        <v>14.9</v>
      </c>
      <c r="G77" s="8">
        <v>-2.1</v>
      </c>
      <c r="H77" s="8" t="s">
        <v>1483</v>
      </c>
      <c r="I77" s="8" t="s">
        <v>1483</v>
      </c>
      <c r="J77" s="8" t="s">
        <v>1483</v>
      </c>
      <c r="K77" s="8" t="s">
        <v>1483</v>
      </c>
      <c r="L77" s="8" t="s">
        <v>1483</v>
      </c>
      <c r="M77" s="8" t="s">
        <v>1483</v>
      </c>
      <c r="N77" s="8" t="s">
        <v>1483</v>
      </c>
    </row>
    <row r="78" spans="1:14" x14ac:dyDescent="0.25">
      <c r="A78" s="6" t="s">
        <v>2048</v>
      </c>
      <c r="B78" s="7" t="s">
        <v>75</v>
      </c>
      <c r="C78" s="7" t="s">
        <v>76</v>
      </c>
      <c r="D78" s="7" t="s">
        <v>2047</v>
      </c>
      <c r="E78" s="8">
        <v>17.399999999999999</v>
      </c>
      <c r="F78" s="8">
        <v>20.5</v>
      </c>
      <c r="G78" s="8">
        <v>-4.9000000000000004</v>
      </c>
      <c r="H78" s="8" t="s">
        <v>1483</v>
      </c>
      <c r="I78" s="8" t="s">
        <v>1483</v>
      </c>
      <c r="J78" s="8" t="s">
        <v>1483</v>
      </c>
      <c r="K78" s="8" t="s">
        <v>1483</v>
      </c>
      <c r="L78" s="8" t="s">
        <v>1483</v>
      </c>
      <c r="M78" s="8" t="s">
        <v>1483</v>
      </c>
      <c r="N78" s="8" t="s">
        <v>1483</v>
      </c>
    </row>
    <row r="79" spans="1:14" x14ac:dyDescent="0.25">
      <c r="A79" s="6" t="s">
        <v>2089</v>
      </c>
      <c r="B79" s="7" t="s">
        <v>75</v>
      </c>
      <c r="C79" s="7" t="s">
        <v>76</v>
      </c>
      <c r="D79" s="7" t="s">
        <v>2088</v>
      </c>
      <c r="E79" s="8" t="s">
        <v>1483</v>
      </c>
      <c r="F79" s="8" t="s">
        <v>1483</v>
      </c>
      <c r="G79" s="8" t="s">
        <v>1483</v>
      </c>
      <c r="H79" s="8" t="s">
        <v>1483</v>
      </c>
      <c r="I79" s="8" t="s">
        <v>1483</v>
      </c>
      <c r="J79" s="8" t="s">
        <v>1483</v>
      </c>
      <c r="K79" s="8" t="s">
        <v>1483</v>
      </c>
      <c r="L79" s="8" t="s">
        <v>1483</v>
      </c>
      <c r="M79" s="8" t="s">
        <v>1483</v>
      </c>
      <c r="N79" s="8" t="s">
        <v>1483</v>
      </c>
    </row>
    <row r="80" spans="1:14" x14ac:dyDescent="0.25">
      <c r="A80" s="6" t="s">
        <v>2057</v>
      </c>
      <c r="B80" s="7" t="s">
        <v>75</v>
      </c>
      <c r="C80" s="7" t="s">
        <v>76</v>
      </c>
      <c r="D80" s="7" t="s">
        <v>2056</v>
      </c>
      <c r="E80" s="8">
        <v>11</v>
      </c>
      <c r="F80" s="8" t="s">
        <v>1483</v>
      </c>
      <c r="G80" s="8" t="s">
        <v>1483</v>
      </c>
      <c r="H80" s="8" t="s">
        <v>1483</v>
      </c>
      <c r="I80" s="8" t="s">
        <v>1483</v>
      </c>
      <c r="J80" s="8" t="s">
        <v>1483</v>
      </c>
      <c r="K80" s="8" t="s">
        <v>1483</v>
      </c>
      <c r="L80" s="8" t="s">
        <v>1483</v>
      </c>
      <c r="M80" s="8" t="s">
        <v>1483</v>
      </c>
      <c r="N80" s="8" t="s">
        <v>1483</v>
      </c>
    </row>
    <row r="81" spans="1:14" x14ac:dyDescent="0.25">
      <c r="A81" s="6" t="s">
        <v>2087</v>
      </c>
      <c r="B81" s="7" t="s">
        <v>75</v>
      </c>
      <c r="C81" s="7" t="s">
        <v>76</v>
      </c>
      <c r="D81" s="7" t="s">
        <v>2086</v>
      </c>
      <c r="E81" s="8" t="s">
        <v>1483</v>
      </c>
      <c r="F81" s="8" t="s">
        <v>1483</v>
      </c>
      <c r="G81" s="8" t="s">
        <v>1483</v>
      </c>
      <c r="H81" s="8" t="s">
        <v>1483</v>
      </c>
      <c r="I81" s="8" t="s">
        <v>1483</v>
      </c>
      <c r="J81" s="8" t="s">
        <v>1483</v>
      </c>
      <c r="K81" s="8" t="s">
        <v>1483</v>
      </c>
      <c r="L81" s="8" t="s">
        <v>1483</v>
      </c>
      <c r="M81" s="8" t="s">
        <v>1483</v>
      </c>
      <c r="N81" s="8" t="s">
        <v>1483</v>
      </c>
    </row>
    <row r="82" spans="1:14" x14ac:dyDescent="0.25">
      <c r="A82" s="6" t="s">
        <v>2085</v>
      </c>
      <c r="B82" s="7" t="s">
        <v>75</v>
      </c>
      <c r="C82" s="7" t="s">
        <v>76</v>
      </c>
      <c r="D82" s="7" t="s">
        <v>2084</v>
      </c>
      <c r="E82" s="8">
        <v>0.1</v>
      </c>
      <c r="F82" s="8">
        <v>10.4</v>
      </c>
      <c r="G82" s="8">
        <v>-12.3</v>
      </c>
      <c r="H82" s="8" t="s">
        <v>1483</v>
      </c>
      <c r="I82" s="8" t="s">
        <v>1483</v>
      </c>
      <c r="J82" s="8" t="s">
        <v>1483</v>
      </c>
      <c r="K82" s="8" t="s">
        <v>1483</v>
      </c>
      <c r="L82" s="8" t="s">
        <v>1483</v>
      </c>
      <c r="M82" s="8" t="s">
        <v>1483</v>
      </c>
      <c r="N82" s="8" t="s">
        <v>1483</v>
      </c>
    </row>
    <row r="83" spans="1:14" x14ac:dyDescent="0.25">
      <c r="A83" s="6" t="s">
        <v>2046</v>
      </c>
      <c r="B83" s="7" t="s">
        <v>75</v>
      </c>
      <c r="C83" s="7" t="s">
        <v>76</v>
      </c>
      <c r="D83" s="7" t="s">
        <v>2045</v>
      </c>
      <c r="E83" s="8">
        <v>5.4</v>
      </c>
      <c r="F83" s="8">
        <v>6.7</v>
      </c>
      <c r="G83" s="8">
        <v>-5.7</v>
      </c>
      <c r="H83" s="8" t="s">
        <v>1483</v>
      </c>
      <c r="I83" s="8" t="s">
        <v>1483</v>
      </c>
      <c r="J83" s="8" t="s">
        <v>1483</v>
      </c>
      <c r="K83" s="8" t="s">
        <v>1483</v>
      </c>
      <c r="L83" s="8" t="s">
        <v>1483</v>
      </c>
      <c r="M83" s="8" t="s">
        <v>1483</v>
      </c>
      <c r="N83" s="8" t="s">
        <v>1483</v>
      </c>
    </row>
    <row r="84" spans="1:14" x14ac:dyDescent="0.25">
      <c r="A84" s="6" t="s">
        <v>2083</v>
      </c>
      <c r="B84" s="7" t="s">
        <v>75</v>
      </c>
      <c r="C84" s="7" t="s">
        <v>76</v>
      </c>
      <c r="D84" s="7" t="s">
        <v>2082</v>
      </c>
      <c r="E84" s="8" t="s">
        <v>1483</v>
      </c>
      <c r="F84" s="8" t="s">
        <v>1483</v>
      </c>
      <c r="G84" s="8" t="s">
        <v>1483</v>
      </c>
      <c r="H84" s="8" t="s">
        <v>1483</v>
      </c>
      <c r="I84" s="8" t="s">
        <v>1483</v>
      </c>
      <c r="J84" s="8" t="s">
        <v>1483</v>
      </c>
      <c r="K84" s="8" t="s">
        <v>1483</v>
      </c>
      <c r="L84" s="8" t="s">
        <v>1483</v>
      </c>
      <c r="M84" s="8" t="s">
        <v>1483</v>
      </c>
      <c r="N84" s="8" t="s">
        <v>1483</v>
      </c>
    </row>
    <row r="85" spans="1:14" x14ac:dyDescent="0.25">
      <c r="A85" s="6" t="s">
        <v>1406</v>
      </c>
      <c r="B85" s="7" t="s">
        <v>75</v>
      </c>
      <c r="C85" s="7" t="s">
        <v>76</v>
      </c>
      <c r="D85" s="7" t="s">
        <v>2044</v>
      </c>
      <c r="E85" s="8">
        <v>8.6999999999999993</v>
      </c>
      <c r="F85" s="8">
        <v>9.9</v>
      </c>
      <c r="G85" s="8">
        <v>-1.3</v>
      </c>
      <c r="H85" s="8" t="s">
        <v>1483</v>
      </c>
      <c r="I85" s="8" t="s">
        <v>1483</v>
      </c>
      <c r="J85" s="8" t="s">
        <v>1483</v>
      </c>
      <c r="K85" s="8" t="s">
        <v>1483</v>
      </c>
      <c r="L85" s="8" t="s">
        <v>1483</v>
      </c>
      <c r="M85" s="8" t="s">
        <v>1483</v>
      </c>
      <c r="N85" s="8" t="s">
        <v>1483</v>
      </c>
    </row>
    <row r="86" spans="1:14" x14ac:dyDescent="0.25">
      <c r="A86" s="6" t="s">
        <v>17</v>
      </c>
      <c r="B86" s="7"/>
      <c r="C86" s="7"/>
      <c r="D86" s="7"/>
      <c r="E86" s="8"/>
      <c r="F86" s="8"/>
      <c r="G86" s="8"/>
      <c r="H86" s="8"/>
      <c r="I86" s="8"/>
      <c r="J86" s="8"/>
      <c r="K86" s="8"/>
      <c r="L86" s="8"/>
      <c r="M86" s="8"/>
      <c r="N86" s="8"/>
    </row>
    <row r="87" spans="1:14" x14ac:dyDescent="0.25">
      <c r="A87" s="6" t="s">
        <v>2081</v>
      </c>
      <c r="B87" s="7" t="s">
        <v>15</v>
      </c>
      <c r="C87" s="7" t="s">
        <v>16</v>
      </c>
      <c r="D87" s="7"/>
      <c r="E87" s="8">
        <v>7.9</v>
      </c>
      <c r="F87" s="8">
        <v>8.1</v>
      </c>
      <c r="G87" s="8">
        <v>-4.8</v>
      </c>
      <c r="H87" s="8">
        <v>12.6</v>
      </c>
      <c r="I87" s="8">
        <v>9.6999999999999993</v>
      </c>
      <c r="J87" s="8">
        <v>11.5</v>
      </c>
      <c r="K87" s="8">
        <v>10.199999999999999</v>
      </c>
      <c r="L87" s="8">
        <v>10.3</v>
      </c>
      <c r="M87" s="8">
        <v>8.5920806020690126</v>
      </c>
      <c r="N87" s="8">
        <v>8.2693968620003542</v>
      </c>
    </row>
    <row r="88" spans="1:14" x14ac:dyDescent="0.25">
      <c r="A88" s="6" t="s">
        <v>100</v>
      </c>
      <c r="B88" s="7" t="s">
        <v>15</v>
      </c>
      <c r="C88" s="7" t="s">
        <v>16</v>
      </c>
      <c r="D88" s="7" t="s">
        <v>35</v>
      </c>
      <c r="E88" s="8">
        <v>7.2593149197396345</v>
      </c>
      <c r="F88" s="8">
        <v>9.4006154376904139</v>
      </c>
      <c r="G88" s="8">
        <v>-1.3682994030307563</v>
      </c>
      <c r="H88" s="8">
        <v>13.1</v>
      </c>
      <c r="I88" s="8">
        <v>11.8</v>
      </c>
      <c r="J88" s="8">
        <v>11.8</v>
      </c>
      <c r="K88" s="8">
        <v>11.2</v>
      </c>
      <c r="L88" s="8">
        <v>10.7</v>
      </c>
      <c r="M88" s="8">
        <v>8.9022669604111702</v>
      </c>
      <c r="N88" s="8">
        <v>9.1432523144387527</v>
      </c>
    </row>
    <row r="89" spans="1:14" x14ac:dyDescent="0.25">
      <c r="A89" s="6" t="s">
        <v>2050</v>
      </c>
      <c r="B89" s="7" t="s">
        <v>15</v>
      </c>
      <c r="C89" s="7" t="s">
        <v>16</v>
      </c>
      <c r="D89" s="7" t="s">
        <v>35</v>
      </c>
      <c r="E89" s="8">
        <v>91.890062275185244</v>
      </c>
      <c r="F89" s="8">
        <v>116.05698071222733</v>
      </c>
      <c r="G89" s="8">
        <v>28.506237563140758</v>
      </c>
      <c r="H89" s="8">
        <v>103.96825396825398</v>
      </c>
      <c r="I89" s="8">
        <v>121.64948453608248</v>
      </c>
      <c r="J89" s="8">
        <v>102.60869565217391</v>
      </c>
      <c r="K89" s="8">
        <v>109.80392156862746</v>
      </c>
      <c r="L89" s="8">
        <v>103.88349514563106</v>
      </c>
      <c r="M89" s="8">
        <v>103.61014255694323</v>
      </c>
      <c r="N89" s="8">
        <v>110.56734205675811</v>
      </c>
    </row>
    <row r="90" spans="1:14" x14ac:dyDescent="0.25">
      <c r="A90" s="6" t="s">
        <v>85</v>
      </c>
      <c r="B90" s="7" t="s">
        <v>15</v>
      </c>
      <c r="C90" s="7" t="s">
        <v>16</v>
      </c>
      <c r="D90" s="7" t="s">
        <v>22</v>
      </c>
      <c r="E90" s="8">
        <v>5.2813350039125684</v>
      </c>
      <c r="F90" s="8">
        <v>6.4222787528888956</v>
      </c>
      <c r="G90" s="8">
        <v>-4.4268881024058393</v>
      </c>
      <c r="H90" s="8">
        <v>12</v>
      </c>
      <c r="I90" s="8">
        <v>7</v>
      </c>
      <c r="J90" s="8">
        <v>11.1</v>
      </c>
      <c r="K90" s="8">
        <v>8.6999999999999993</v>
      </c>
      <c r="L90" s="8">
        <v>9.5</v>
      </c>
      <c r="M90" s="8">
        <v>7.6316689677910974</v>
      </c>
      <c r="N90" s="8">
        <v>7.5633886545443172</v>
      </c>
    </row>
    <row r="91" spans="1:14" x14ac:dyDescent="0.25">
      <c r="A91" s="6" t="s">
        <v>2050</v>
      </c>
      <c r="B91" s="7" t="s">
        <v>15</v>
      </c>
      <c r="C91" s="7" t="s">
        <v>16</v>
      </c>
      <c r="D91" s="7" t="s">
        <v>22</v>
      </c>
      <c r="E91" s="8">
        <v>66.852341821678067</v>
      </c>
      <c r="F91" s="8">
        <v>79.287392010974017</v>
      </c>
      <c r="G91" s="8">
        <v>92.226835466788316</v>
      </c>
      <c r="H91" s="8">
        <v>95.238095238095241</v>
      </c>
      <c r="I91" s="8">
        <v>72.164948453608247</v>
      </c>
      <c r="J91" s="8">
        <v>96.521739130434781</v>
      </c>
      <c r="K91" s="8">
        <v>85.294117647058812</v>
      </c>
      <c r="L91" s="8">
        <v>92.233009708737853</v>
      </c>
      <c r="M91" s="8">
        <v>88.822129600988106</v>
      </c>
      <c r="N91" s="8">
        <v>91.462397811619184</v>
      </c>
    </row>
    <row r="92" spans="1:14" x14ac:dyDescent="0.25">
      <c r="A92" s="6" t="s">
        <v>2049</v>
      </c>
      <c r="B92" s="7"/>
      <c r="C92" s="7"/>
      <c r="D92" s="7"/>
      <c r="E92" s="8"/>
      <c r="F92" s="8"/>
      <c r="G92" s="8"/>
      <c r="H92" s="8"/>
      <c r="I92" s="8"/>
      <c r="J92" s="8"/>
      <c r="K92" s="8"/>
      <c r="L92" s="8"/>
      <c r="M92" s="8"/>
      <c r="N92" s="8"/>
    </row>
    <row r="93" spans="1:14" x14ac:dyDescent="0.25">
      <c r="A93" s="6" t="s">
        <v>2048</v>
      </c>
      <c r="B93" s="7" t="s">
        <v>15</v>
      </c>
      <c r="C93" s="7" t="s">
        <v>16</v>
      </c>
      <c r="D93" s="7" t="s">
        <v>2047</v>
      </c>
      <c r="E93" s="8">
        <v>10.6</v>
      </c>
      <c r="F93" s="8">
        <v>8.9</v>
      </c>
      <c r="G93" s="8">
        <v>-5.7</v>
      </c>
      <c r="H93" s="8" t="s">
        <v>1483</v>
      </c>
      <c r="I93" s="8" t="s">
        <v>1483</v>
      </c>
      <c r="J93" s="8" t="s">
        <v>1483</v>
      </c>
      <c r="K93" s="8" t="s">
        <v>1483</v>
      </c>
      <c r="L93" s="8" t="s">
        <v>1483</v>
      </c>
      <c r="M93" s="8" t="s">
        <v>1483</v>
      </c>
      <c r="N93" s="8" t="s">
        <v>1483</v>
      </c>
    </row>
    <row r="94" spans="1:14" x14ac:dyDescent="0.25">
      <c r="A94" s="6" t="s">
        <v>2046</v>
      </c>
      <c r="B94" s="7" t="s">
        <v>15</v>
      </c>
      <c r="C94" s="7" t="s">
        <v>16</v>
      </c>
      <c r="D94" s="7" t="s">
        <v>2045</v>
      </c>
      <c r="E94" s="8">
        <v>5.9</v>
      </c>
      <c r="F94" s="8">
        <v>6.7</v>
      </c>
      <c r="G94" s="8">
        <v>-8.1</v>
      </c>
      <c r="H94" s="8" t="s">
        <v>1483</v>
      </c>
      <c r="I94" s="8" t="s">
        <v>1483</v>
      </c>
      <c r="J94" s="8" t="s">
        <v>1483</v>
      </c>
      <c r="K94" s="8" t="s">
        <v>1483</v>
      </c>
      <c r="L94" s="8" t="s">
        <v>1483</v>
      </c>
      <c r="M94" s="8" t="s">
        <v>1483</v>
      </c>
      <c r="N94" s="8" t="s">
        <v>1483</v>
      </c>
    </row>
    <row r="95" spans="1:14" x14ac:dyDescent="0.25">
      <c r="A95" s="6" t="s">
        <v>1406</v>
      </c>
      <c r="B95" s="7" t="s">
        <v>15</v>
      </c>
      <c r="C95" s="7" t="s">
        <v>16</v>
      </c>
      <c r="D95" s="7" t="s">
        <v>2044</v>
      </c>
      <c r="E95" s="8">
        <v>8.6</v>
      </c>
      <c r="F95" s="8">
        <v>8.9</v>
      </c>
      <c r="G95" s="8">
        <v>-1.8</v>
      </c>
      <c r="H95" s="8" t="s">
        <v>1483</v>
      </c>
      <c r="I95" s="8" t="s">
        <v>1483</v>
      </c>
      <c r="J95" s="8" t="s">
        <v>1483</v>
      </c>
      <c r="K95" s="8" t="s">
        <v>1483</v>
      </c>
      <c r="L95" s="8" t="s">
        <v>1483</v>
      </c>
      <c r="M95" s="8" t="s">
        <v>1483</v>
      </c>
      <c r="N95" s="8" t="s">
        <v>1483</v>
      </c>
    </row>
    <row r="96" spans="1:14" x14ac:dyDescent="0.25">
      <c r="A96" s="6" t="s">
        <v>17</v>
      </c>
      <c r="B96" s="7"/>
      <c r="C96" s="7"/>
      <c r="D96" s="7"/>
      <c r="E96" s="8"/>
      <c r="F96" s="8"/>
      <c r="G96" s="8"/>
      <c r="H96" s="8"/>
      <c r="I96" s="8"/>
      <c r="J96" s="8"/>
      <c r="K96" s="8"/>
      <c r="L96" s="8"/>
      <c r="M96" s="8"/>
      <c r="N96" s="8"/>
    </row>
    <row r="97" spans="1:14" x14ac:dyDescent="0.25">
      <c r="A97" s="6" t="s">
        <v>2080</v>
      </c>
      <c r="B97" s="7" t="s">
        <v>2079</v>
      </c>
      <c r="C97" s="7" t="s">
        <v>2078</v>
      </c>
      <c r="D97" s="7"/>
      <c r="E97" s="8" t="s">
        <v>1483</v>
      </c>
      <c r="F97" s="8" t="s">
        <v>1483</v>
      </c>
      <c r="G97" s="8" t="s">
        <v>1483</v>
      </c>
      <c r="H97" s="8" t="s">
        <v>1483</v>
      </c>
      <c r="I97" s="8" t="s">
        <v>1483</v>
      </c>
      <c r="J97" s="8" t="s">
        <v>1483</v>
      </c>
      <c r="K97" s="8" t="s">
        <v>1483</v>
      </c>
      <c r="L97" s="8" t="s">
        <v>1483</v>
      </c>
      <c r="M97" s="8" t="s">
        <v>1483</v>
      </c>
      <c r="N97" s="8" t="s">
        <v>1483</v>
      </c>
    </row>
    <row r="98" spans="1:14" x14ac:dyDescent="0.25">
      <c r="A98" s="6" t="s">
        <v>100</v>
      </c>
      <c r="B98" s="7" t="s">
        <v>2079</v>
      </c>
      <c r="C98" s="7" t="s">
        <v>2078</v>
      </c>
      <c r="D98" s="7" t="s">
        <v>35</v>
      </c>
      <c r="E98" s="8" t="s">
        <v>1483</v>
      </c>
      <c r="F98" s="8" t="s">
        <v>1483</v>
      </c>
      <c r="G98" s="8">
        <v>5.7</v>
      </c>
      <c r="H98" s="8">
        <v>11.9</v>
      </c>
      <c r="I98" s="8">
        <v>11.2</v>
      </c>
      <c r="J98" s="8">
        <v>10.199999999999999</v>
      </c>
      <c r="K98" s="8">
        <v>9.5</v>
      </c>
      <c r="L98" s="8">
        <v>10</v>
      </c>
      <c r="M98" s="8" t="s">
        <v>1483</v>
      </c>
      <c r="N98" s="8" t="s">
        <v>1483</v>
      </c>
    </row>
    <row r="99" spans="1:14" x14ac:dyDescent="0.25">
      <c r="A99" s="6" t="s">
        <v>2050</v>
      </c>
      <c r="B99" s="7" t="s">
        <v>2079</v>
      </c>
      <c r="C99" s="7" t="s">
        <v>2078</v>
      </c>
      <c r="D99" s="7" t="s">
        <v>35</v>
      </c>
      <c r="E99" s="8" t="s">
        <v>1483</v>
      </c>
      <c r="F99" s="8" t="s">
        <v>1483</v>
      </c>
      <c r="G99" s="8" t="s">
        <v>1483</v>
      </c>
      <c r="H99" s="8" t="s">
        <v>1483</v>
      </c>
      <c r="I99" s="8" t="s">
        <v>1483</v>
      </c>
      <c r="J99" s="8" t="s">
        <v>1483</v>
      </c>
      <c r="K99" s="8" t="s">
        <v>1483</v>
      </c>
      <c r="L99" s="8" t="s">
        <v>1483</v>
      </c>
      <c r="M99" s="8" t="s">
        <v>1483</v>
      </c>
      <c r="N99" s="8" t="s">
        <v>1483</v>
      </c>
    </row>
    <row r="100" spans="1:14" x14ac:dyDescent="0.25">
      <c r="A100" s="6" t="s">
        <v>85</v>
      </c>
      <c r="B100" s="7" t="s">
        <v>2079</v>
      </c>
      <c r="C100" s="7" t="s">
        <v>2078</v>
      </c>
      <c r="D100" s="7" t="s">
        <v>22</v>
      </c>
      <c r="E100" s="8" t="s">
        <v>1483</v>
      </c>
      <c r="F100" s="8" t="s">
        <v>1483</v>
      </c>
      <c r="G100" s="8">
        <v>6.6</v>
      </c>
      <c r="H100" s="8">
        <v>4.4000000000000004</v>
      </c>
      <c r="I100" s="8">
        <v>9.9</v>
      </c>
      <c r="J100" s="8">
        <v>11.9</v>
      </c>
      <c r="K100" s="8">
        <v>8.6999999999999993</v>
      </c>
      <c r="L100" s="8">
        <v>9.6</v>
      </c>
      <c r="M100" s="8" t="s">
        <v>1483</v>
      </c>
      <c r="N100" s="8" t="s">
        <v>1483</v>
      </c>
    </row>
    <row r="101" spans="1:14" x14ac:dyDescent="0.25">
      <c r="A101" s="6" t="s">
        <v>2050</v>
      </c>
      <c r="B101" s="7" t="s">
        <v>2079</v>
      </c>
      <c r="C101" s="7" t="s">
        <v>2078</v>
      </c>
      <c r="D101" s="7" t="s">
        <v>22</v>
      </c>
      <c r="E101" s="8" t="s">
        <v>1483</v>
      </c>
      <c r="F101" s="8" t="s">
        <v>1483</v>
      </c>
      <c r="G101" s="8" t="s">
        <v>1483</v>
      </c>
      <c r="H101" s="8" t="s">
        <v>1483</v>
      </c>
      <c r="I101" s="8" t="s">
        <v>1483</v>
      </c>
      <c r="J101" s="8" t="s">
        <v>1483</v>
      </c>
      <c r="K101" s="8" t="s">
        <v>1483</v>
      </c>
      <c r="L101" s="8" t="s">
        <v>1483</v>
      </c>
      <c r="M101" s="8" t="s">
        <v>1483</v>
      </c>
      <c r="N101" s="8" t="s">
        <v>1483</v>
      </c>
    </row>
    <row r="102" spans="1:14" x14ac:dyDescent="0.25">
      <c r="A102" s="6" t="s">
        <v>2049</v>
      </c>
      <c r="B102" s="7"/>
      <c r="C102" s="7"/>
      <c r="D102" s="7"/>
      <c r="E102" s="8"/>
      <c r="F102" s="8"/>
      <c r="G102" s="8"/>
      <c r="H102" s="8"/>
      <c r="I102" s="8"/>
      <c r="J102" s="8"/>
      <c r="K102" s="8"/>
      <c r="L102" s="8"/>
      <c r="M102" s="8"/>
      <c r="N102" s="8"/>
    </row>
    <row r="103" spans="1:14" x14ac:dyDescent="0.25">
      <c r="A103" s="6" t="s">
        <v>2048</v>
      </c>
      <c r="B103" s="7" t="s">
        <v>2079</v>
      </c>
      <c r="C103" s="7" t="s">
        <v>2078</v>
      </c>
      <c r="D103" s="7" t="s">
        <v>2047</v>
      </c>
      <c r="E103" s="8" t="s">
        <v>1483</v>
      </c>
      <c r="F103" s="8" t="s">
        <v>1483</v>
      </c>
      <c r="G103" s="8" t="s">
        <v>1483</v>
      </c>
      <c r="H103" s="8" t="s">
        <v>1483</v>
      </c>
      <c r="I103" s="8" t="s">
        <v>1483</v>
      </c>
      <c r="J103" s="8" t="s">
        <v>1483</v>
      </c>
      <c r="K103" s="8" t="s">
        <v>1483</v>
      </c>
      <c r="L103" s="8" t="s">
        <v>1483</v>
      </c>
      <c r="M103" s="8" t="s">
        <v>1483</v>
      </c>
      <c r="N103" s="8" t="s">
        <v>1483</v>
      </c>
    </row>
    <row r="104" spans="1:14" x14ac:dyDescent="0.25">
      <c r="A104" s="6" t="s">
        <v>2046</v>
      </c>
      <c r="B104" s="7" t="s">
        <v>2079</v>
      </c>
      <c r="C104" s="7" t="s">
        <v>2078</v>
      </c>
      <c r="D104" s="7" t="s">
        <v>2045</v>
      </c>
      <c r="E104" s="8" t="s">
        <v>1483</v>
      </c>
      <c r="F104" s="8" t="s">
        <v>1483</v>
      </c>
      <c r="G104" s="8" t="s">
        <v>1483</v>
      </c>
      <c r="H104" s="8" t="s">
        <v>1483</v>
      </c>
      <c r="I104" s="8" t="s">
        <v>1483</v>
      </c>
      <c r="J104" s="8" t="s">
        <v>1483</v>
      </c>
      <c r="K104" s="8" t="s">
        <v>1483</v>
      </c>
      <c r="L104" s="8" t="s">
        <v>1483</v>
      </c>
      <c r="M104" s="8" t="s">
        <v>1483</v>
      </c>
      <c r="N104" s="8" t="s">
        <v>1483</v>
      </c>
    </row>
    <row r="105" spans="1:14" x14ac:dyDescent="0.25">
      <c r="A105" s="6" t="s">
        <v>1406</v>
      </c>
      <c r="B105" s="7" t="s">
        <v>2079</v>
      </c>
      <c r="C105" s="7" t="s">
        <v>2078</v>
      </c>
      <c r="D105" s="7" t="s">
        <v>2044</v>
      </c>
      <c r="E105" s="8" t="s">
        <v>1483</v>
      </c>
      <c r="F105" s="8" t="s">
        <v>1483</v>
      </c>
      <c r="G105" s="8" t="s">
        <v>1483</v>
      </c>
      <c r="H105" s="8" t="s">
        <v>1483</v>
      </c>
      <c r="I105" s="8" t="s">
        <v>1483</v>
      </c>
      <c r="J105" s="8" t="s">
        <v>1483</v>
      </c>
      <c r="K105" s="8" t="s">
        <v>1483</v>
      </c>
      <c r="L105" s="8" t="s">
        <v>1483</v>
      </c>
      <c r="M105" s="8" t="s">
        <v>1483</v>
      </c>
      <c r="N105" s="8" t="s">
        <v>1483</v>
      </c>
    </row>
    <row r="106" spans="1:14" x14ac:dyDescent="0.25">
      <c r="A106" s="6" t="s">
        <v>17</v>
      </c>
      <c r="B106" s="7"/>
      <c r="C106" s="7"/>
      <c r="D106" s="7"/>
      <c r="E106" s="8"/>
      <c r="F106" s="8"/>
      <c r="G106" s="8"/>
      <c r="H106" s="8"/>
      <c r="I106" s="8"/>
      <c r="J106" s="8"/>
      <c r="K106" s="8"/>
      <c r="L106" s="8"/>
      <c r="M106" s="8"/>
      <c r="N106" s="8"/>
    </row>
    <row r="107" spans="1:14" x14ac:dyDescent="0.25">
      <c r="A107" s="6" t="s">
        <v>2077</v>
      </c>
      <c r="B107" s="7" t="s">
        <v>2076</v>
      </c>
      <c r="C107" s="7" t="s">
        <v>2075</v>
      </c>
      <c r="D107" s="7"/>
      <c r="E107" s="8" t="s">
        <v>1483</v>
      </c>
      <c r="F107" s="8" t="s">
        <v>1483</v>
      </c>
      <c r="G107" s="8" t="s">
        <v>1483</v>
      </c>
      <c r="H107" s="8" t="s">
        <v>1483</v>
      </c>
      <c r="I107" s="8" t="s">
        <v>1483</v>
      </c>
      <c r="J107" s="8" t="s">
        <v>1483</v>
      </c>
      <c r="K107" s="8" t="s">
        <v>1483</v>
      </c>
      <c r="L107" s="8" t="s">
        <v>1483</v>
      </c>
      <c r="M107" s="8" t="s">
        <v>1483</v>
      </c>
      <c r="N107" s="8" t="s">
        <v>1483</v>
      </c>
    </row>
    <row r="108" spans="1:14" x14ac:dyDescent="0.25">
      <c r="A108" s="6" t="s">
        <v>2073</v>
      </c>
      <c r="B108" s="7" t="s">
        <v>2076</v>
      </c>
      <c r="C108" s="7" t="s">
        <v>2075</v>
      </c>
      <c r="D108" s="7" t="s">
        <v>2070</v>
      </c>
      <c r="E108" s="8" t="s">
        <v>1483</v>
      </c>
      <c r="F108" s="8" t="s">
        <v>1483</v>
      </c>
      <c r="G108" s="8" t="s">
        <v>1483</v>
      </c>
      <c r="H108" s="8" t="s">
        <v>1483</v>
      </c>
      <c r="I108" s="8" t="s">
        <v>1483</v>
      </c>
      <c r="J108" s="8" t="s">
        <v>1483</v>
      </c>
      <c r="K108" s="8" t="s">
        <v>1483</v>
      </c>
      <c r="L108" s="8" t="s">
        <v>1483</v>
      </c>
      <c r="M108" s="8" t="s">
        <v>1483</v>
      </c>
      <c r="N108" s="8" t="s">
        <v>1483</v>
      </c>
    </row>
    <row r="109" spans="1:14" x14ac:dyDescent="0.25">
      <c r="A109" s="6" t="s">
        <v>2050</v>
      </c>
      <c r="B109" s="7" t="s">
        <v>2076</v>
      </c>
      <c r="C109" s="7" t="s">
        <v>2075</v>
      </c>
      <c r="D109" s="7" t="s">
        <v>2070</v>
      </c>
      <c r="E109" s="8" t="s">
        <v>1483</v>
      </c>
      <c r="F109" s="8" t="s">
        <v>1483</v>
      </c>
      <c r="G109" s="8" t="s">
        <v>1483</v>
      </c>
      <c r="H109" s="8" t="s">
        <v>1483</v>
      </c>
      <c r="I109" s="8" t="s">
        <v>1483</v>
      </c>
      <c r="J109" s="8" t="s">
        <v>1483</v>
      </c>
      <c r="K109" s="8" t="s">
        <v>1483</v>
      </c>
      <c r="L109" s="8" t="s">
        <v>1483</v>
      </c>
      <c r="M109" s="8" t="s">
        <v>1483</v>
      </c>
      <c r="N109" s="8" t="s">
        <v>1483</v>
      </c>
    </row>
    <row r="110" spans="1:14" x14ac:dyDescent="0.25">
      <c r="A110" s="6" t="s">
        <v>17</v>
      </c>
      <c r="B110" s="7"/>
      <c r="C110" s="7"/>
      <c r="D110" s="7"/>
      <c r="E110" s="8"/>
      <c r="F110" s="8"/>
      <c r="G110" s="8"/>
      <c r="H110" s="8"/>
      <c r="I110" s="8"/>
      <c r="J110" s="8"/>
      <c r="K110" s="8"/>
      <c r="L110" s="8"/>
      <c r="M110" s="8"/>
      <c r="N110" s="8"/>
    </row>
    <row r="111" spans="1:14" x14ac:dyDescent="0.25">
      <c r="A111" s="6" t="s">
        <v>2074</v>
      </c>
      <c r="B111" s="7" t="s">
        <v>2072</v>
      </c>
      <c r="C111" s="7" t="s">
        <v>2071</v>
      </c>
      <c r="D111" s="7"/>
      <c r="E111" s="8" t="s">
        <v>1483</v>
      </c>
      <c r="F111" s="8" t="s">
        <v>1483</v>
      </c>
      <c r="G111" s="8" t="s">
        <v>1483</v>
      </c>
      <c r="H111" s="8" t="s">
        <v>1483</v>
      </c>
      <c r="I111" s="8" t="s">
        <v>1483</v>
      </c>
      <c r="J111" s="8" t="s">
        <v>1483</v>
      </c>
      <c r="K111" s="8" t="s">
        <v>1483</v>
      </c>
      <c r="L111" s="8" t="s">
        <v>1483</v>
      </c>
      <c r="M111" s="8" t="s">
        <v>1483</v>
      </c>
      <c r="N111" s="8" t="s">
        <v>1483</v>
      </c>
    </row>
    <row r="112" spans="1:14" x14ac:dyDescent="0.25">
      <c r="A112" s="6" t="s">
        <v>2073</v>
      </c>
      <c r="B112" s="7" t="s">
        <v>2072</v>
      </c>
      <c r="C112" s="7" t="s">
        <v>2071</v>
      </c>
      <c r="D112" s="7" t="s">
        <v>2070</v>
      </c>
      <c r="E112" s="8">
        <v>158</v>
      </c>
      <c r="F112" s="8">
        <v>229</v>
      </c>
      <c r="G112" s="8" t="s">
        <v>1483</v>
      </c>
      <c r="H112" s="8" t="s">
        <v>1483</v>
      </c>
      <c r="I112" s="8" t="s">
        <v>1483</v>
      </c>
      <c r="J112" s="8" t="s">
        <v>1483</v>
      </c>
      <c r="K112" s="8" t="s">
        <v>1483</v>
      </c>
      <c r="L112" s="8" t="s">
        <v>1483</v>
      </c>
      <c r="M112" s="8" t="s">
        <v>1483</v>
      </c>
      <c r="N112" s="8" t="s">
        <v>1483</v>
      </c>
    </row>
    <row r="113" spans="1:14" x14ac:dyDescent="0.25">
      <c r="A113" s="6" t="s">
        <v>2050</v>
      </c>
      <c r="B113" s="7" t="s">
        <v>2072</v>
      </c>
      <c r="C113" s="7" t="s">
        <v>2071</v>
      </c>
      <c r="D113" s="7" t="s">
        <v>2070</v>
      </c>
      <c r="E113" s="8" t="s">
        <v>1483</v>
      </c>
      <c r="F113" s="8" t="s">
        <v>1483</v>
      </c>
      <c r="G113" s="8" t="s">
        <v>1483</v>
      </c>
      <c r="H113" s="8" t="s">
        <v>1483</v>
      </c>
      <c r="I113" s="8" t="s">
        <v>1483</v>
      </c>
      <c r="J113" s="8" t="s">
        <v>1483</v>
      </c>
      <c r="K113" s="8" t="s">
        <v>1483</v>
      </c>
      <c r="L113" s="8" t="s">
        <v>1483</v>
      </c>
      <c r="M113" s="8" t="s">
        <v>1483</v>
      </c>
      <c r="N113" s="8" t="s">
        <v>1483</v>
      </c>
    </row>
    <row r="114" spans="1:14" x14ac:dyDescent="0.25">
      <c r="A114" s="6" t="s">
        <v>17</v>
      </c>
      <c r="B114" s="7"/>
      <c r="C114" s="7"/>
      <c r="D114" s="7"/>
      <c r="E114" s="8"/>
      <c r="F114" s="8"/>
      <c r="G114" s="8"/>
      <c r="H114" s="8"/>
      <c r="I114" s="8"/>
      <c r="J114" s="8"/>
      <c r="K114" s="8"/>
      <c r="L114" s="8"/>
      <c r="M114" s="8"/>
      <c r="N114" s="8"/>
    </row>
    <row r="115" spans="1:14" x14ac:dyDescent="0.25">
      <c r="A115" s="6" t="s">
        <v>2069</v>
      </c>
      <c r="B115" s="7" t="s">
        <v>1141</v>
      </c>
      <c r="C115" s="7" t="s">
        <v>1140</v>
      </c>
      <c r="D115" s="7"/>
      <c r="E115" s="8">
        <v>2537</v>
      </c>
      <c r="F115" s="8">
        <v>2713</v>
      </c>
      <c r="G115" s="8">
        <v>2223</v>
      </c>
      <c r="H115" s="8">
        <v>2584</v>
      </c>
      <c r="I115" s="8">
        <v>2841</v>
      </c>
      <c r="J115" s="8">
        <v>3888</v>
      </c>
      <c r="K115" s="8">
        <v>3689</v>
      </c>
      <c r="L115" s="8">
        <v>4889</v>
      </c>
      <c r="M115" s="8" t="s">
        <v>1483</v>
      </c>
      <c r="N115" s="8" t="s">
        <v>1483</v>
      </c>
    </row>
    <row r="116" spans="1:14" x14ac:dyDescent="0.25">
      <c r="A116" s="6" t="s">
        <v>2067</v>
      </c>
      <c r="B116" s="7" t="s">
        <v>1141</v>
      </c>
      <c r="C116" s="7" t="s">
        <v>1140</v>
      </c>
      <c r="D116" s="7" t="s">
        <v>2066</v>
      </c>
      <c r="E116" s="8">
        <v>-980</v>
      </c>
      <c r="F116" s="8">
        <v>-1195</v>
      </c>
      <c r="G116" s="8">
        <v>-1276</v>
      </c>
      <c r="H116" s="8" t="s">
        <v>1483</v>
      </c>
      <c r="I116" s="8" t="s">
        <v>1483</v>
      </c>
      <c r="J116" s="8" t="s">
        <v>1483</v>
      </c>
      <c r="K116" s="8" t="s">
        <v>1483</v>
      </c>
      <c r="L116" s="8" t="s">
        <v>1483</v>
      </c>
      <c r="M116" s="8" t="s">
        <v>1483</v>
      </c>
      <c r="N116" s="8" t="s">
        <v>1483</v>
      </c>
    </row>
    <row r="117" spans="1:14" x14ac:dyDescent="0.25">
      <c r="A117" s="6" t="s">
        <v>2050</v>
      </c>
      <c r="B117" s="7" t="s">
        <v>1141</v>
      </c>
      <c r="C117" s="7" t="s">
        <v>1140</v>
      </c>
      <c r="D117" s="7" t="s">
        <v>2066</v>
      </c>
      <c r="E117" s="8">
        <v>-38.628301143082382</v>
      </c>
      <c r="F117" s="8">
        <v>-44.047180243273132</v>
      </c>
      <c r="G117" s="8">
        <v>-57.399910031488979</v>
      </c>
      <c r="H117" s="8" t="s">
        <v>1483</v>
      </c>
      <c r="I117" s="8" t="s">
        <v>1483</v>
      </c>
      <c r="J117" s="8" t="s">
        <v>1483</v>
      </c>
      <c r="K117" s="8" t="s">
        <v>1483</v>
      </c>
      <c r="L117" s="8" t="s">
        <v>1483</v>
      </c>
      <c r="M117" s="8" t="s">
        <v>1483</v>
      </c>
      <c r="N117" s="8" t="s">
        <v>1483</v>
      </c>
    </row>
    <row r="118" spans="1:14" x14ac:dyDescent="0.25">
      <c r="A118" s="6" t="s">
        <v>2049</v>
      </c>
      <c r="B118" s="7"/>
      <c r="C118" s="7"/>
      <c r="D118" s="7"/>
      <c r="E118" s="8"/>
      <c r="F118" s="8"/>
      <c r="G118" s="8"/>
      <c r="H118" s="8"/>
      <c r="I118" s="8"/>
      <c r="J118" s="8"/>
      <c r="K118" s="8"/>
      <c r="L118" s="8"/>
      <c r="M118" s="8"/>
      <c r="N118" s="8"/>
    </row>
    <row r="119" spans="1:14" x14ac:dyDescent="0.25">
      <c r="A119" s="6" t="s">
        <v>2048</v>
      </c>
      <c r="B119" s="7" t="s">
        <v>1141</v>
      </c>
      <c r="C119" s="7" t="s">
        <v>1140</v>
      </c>
      <c r="D119" s="7" t="s">
        <v>2047</v>
      </c>
      <c r="E119" s="8">
        <v>700</v>
      </c>
      <c r="F119" s="8">
        <v>839</v>
      </c>
      <c r="G119" s="8">
        <v>647</v>
      </c>
      <c r="H119" s="8" t="s">
        <v>1483</v>
      </c>
      <c r="I119" s="8" t="s">
        <v>1483</v>
      </c>
      <c r="J119" s="8" t="s">
        <v>1483</v>
      </c>
      <c r="K119" s="8" t="s">
        <v>1483</v>
      </c>
      <c r="L119" s="8" t="s">
        <v>1483</v>
      </c>
      <c r="M119" s="8" t="s">
        <v>1483</v>
      </c>
      <c r="N119" s="8" t="s">
        <v>1483</v>
      </c>
    </row>
    <row r="120" spans="1:14" x14ac:dyDescent="0.25">
      <c r="A120" s="6" t="s">
        <v>2057</v>
      </c>
      <c r="B120" s="7" t="s">
        <v>1141</v>
      </c>
      <c r="C120" s="7" t="s">
        <v>1140</v>
      </c>
      <c r="D120" s="7" t="s">
        <v>2056</v>
      </c>
      <c r="E120" s="8">
        <v>-431</v>
      </c>
      <c r="F120" s="8">
        <v>-480</v>
      </c>
      <c r="G120" s="8">
        <v>-503</v>
      </c>
      <c r="H120" s="8" t="s">
        <v>1483</v>
      </c>
      <c r="I120" s="8" t="s">
        <v>1483</v>
      </c>
      <c r="J120" s="8" t="s">
        <v>1483</v>
      </c>
      <c r="K120" s="8" t="s">
        <v>1483</v>
      </c>
      <c r="L120" s="8" t="s">
        <v>1483</v>
      </c>
      <c r="M120" s="8" t="s">
        <v>1483</v>
      </c>
      <c r="N120" s="8" t="s">
        <v>1483</v>
      </c>
    </row>
    <row r="121" spans="1:14" x14ac:dyDescent="0.25">
      <c r="A121" s="6" t="s">
        <v>2046</v>
      </c>
      <c r="B121" s="7" t="s">
        <v>1141</v>
      </c>
      <c r="C121" s="7" t="s">
        <v>1140</v>
      </c>
      <c r="D121" s="7" t="s">
        <v>2045</v>
      </c>
      <c r="E121" s="8">
        <v>1804</v>
      </c>
      <c r="F121" s="8">
        <v>1907</v>
      </c>
      <c r="G121" s="8">
        <v>1518</v>
      </c>
      <c r="H121" s="8" t="s">
        <v>1483</v>
      </c>
      <c r="I121" s="8" t="s">
        <v>1483</v>
      </c>
      <c r="J121" s="8" t="s">
        <v>1483</v>
      </c>
      <c r="K121" s="8" t="s">
        <v>1483</v>
      </c>
      <c r="L121" s="8" t="s">
        <v>1483</v>
      </c>
      <c r="M121" s="8" t="s">
        <v>1483</v>
      </c>
      <c r="N121" s="8" t="s">
        <v>1483</v>
      </c>
    </row>
    <row r="122" spans="1:14" x14ac:dyDescent="0.25">
      <c r="A122" s="6" t="s">
        <v>1406</v>
      </c>
      <c r="B122" s="7" t="s">
        <v>1141</v>
      </c>
      <c r="C122" s="7" t="s">
        <v>1140</v>
      </c>
      <c r="D122" s="7" t="s">
        <v>2044</v>
      </c>
      <c r="E122" s="8">
        <v>1444</v>
      </c>
      <c r="F122" s="8">
        <v>1642</v>
      </c>
      <c r="G122" s="8">
        <v>1837</v>
      </c>
      <c r="H122" s="8" t="s">
        <v>1483</v>
      </c>
      <c r="I122" s="8" t="s">
        <v>1483</v>
      </c>
      <c r="J122" s="8" t="s">
        <v>1483</v>
      </c>
      <c r="K122" s="8" t="s">
        <v>1483</v>
      </c>
      <c r="L122" s="8" t="s">
        <v>1483</v>
      </c>
      <c r="M122" s="8" t="s">
        <v>1483</v>
      </c>
      <c r="N122" s="8" t="s">
        <v>1483</v>
      </c>
    </row>
    <row r="123" spans="1:14" x14ac:dyDescent="0.25">
      <c r="A123" s="6" t="s">
        <v>17</v>
      </c>
      <c r="B123" s="7"/>
      <c r="C123" s="7"/>
      <c r="D123" s="7"/>
      <c r="E123" s="8"/>
      <c r="F123" s="8"/>
      <c r="G123" s="8"/>
      <c r="H123" s="8"/>
      <c r="I123" s="8"/>
      <c r="J123" s="8"/>
      <c r="K123" s="8"/>
      <c r="L123" s="8"/>
      <c r="M123" s="8"/>
      <c r="N123" s="8"/>
    </row>
    <row r="124" spans="1:14" x14ac:dyDescent="0.25">
      <c r="A124" s="6" t="s">
        <v>2068</v>
      </c>
      <c r="B124" s="7" t="s">
        <v>1745</v>
      </c>
      <c r="C124" s="7" t="s">
        <v>2065</v>
      </c>
      <c r="D124" s="7"/>
      <c r="E124" s="8">
        <v>3553</v>
      </c>
      <c r="F124" s="8">
        <v>2083</v>
      </c>
      <c r="G124" s="8">
        <v>1599</v>
      </c>
      <c r="H124" s="8">
        <v>1994</v>
      </c>
      <c r="I124" s="8">
        <v>2358</v>
      </c>
      <c r="J124" s="8">
        <v>3165</v>
      </c>
      <c r="K124" s="8">
        <v>2993</v>
      </c>
      <c r="L124" s="8">
        <v>3246</v>
      </c>
      <c r="M124" s="8" t="s">
        <v>1483</v>
      </c>
      <c r="N124" s="8" t="s">
        <v>1483</v>
      </c>
    </row>
    <row r="125" spans="1:14" x14ac:dyDescent="0.25">
      <c r="A125" s="6" t="s">
        <v>2067</v>
      </c>
      <c r="B125" s="7" t="s">
        <v>1745</v>
      </c>
      <c r="C125" s="7" t="s">
        <v>2065</v>
      </c>
      <c r="D125" s="7" t="s">
        <v>2066</v>
      </c>
      <c r="E125" s="8" t="s">
        <v>1483</v>
      </c>
      <c r="F125" s="8" t="s">
        <v>1483</v>
      </c>
      <c r="G125" s="8" t="s">
        <v>1483</v>
      </c>
      <c r="H125" s="8" t="s">
        <v>1483</v>
      </c>
      <c r="I125" s="8" t="s">
        <v>1483</v>
      </c>
      <c r="J125" s="8" t="s">
        <v>1483</v>
      </c>
      <c r="K125" s="8" t="s">
        <v>1483</v>
      </c>
      <c r="L125" s="8" t="s">
        <v>1483</v>
      </c>
      <c r="M125" s="8" t="s">
        <v>1483</v>
      </c>
      <c r="N125" s="8" t="s">
        <v>1483</v>
      </c>
    </row>
    <row r="126" spans="1:14" x14ac:dyDescent="0.25">
      <c r="A126" s="6" t="s">
        <v>2050</v>
      </c>
      <c r="B126" s="7" t="s">
        <v>1745</v>
      </c>
      <c r="C126" s="7" t="s">
        <v>2065</v>
      </c>
      <c r="D126" s="7" t="s">
        <v>2066</v>
      </c>
      <c r="E126" s="8" t="s">
        <v>1483</v>
      </c>
      <c r="F126" s="8" t="s">
        <v>1483</v>
      </c>
      <c r="G126" s="8" t="s">
        <v>1483</v>
      </c>
      <c r="H126" s="8" t="s">
        <v>1483</v>
      </c>
      <c r="I126" s="8" t="s">
        <v>1483</v>
      </c>
      <c r="J126" s="8" t="s">
        <v>1483</v>
      </c>
      <c r="K126" s="8" t="s">
        <v>1483</v>
      </c>
      <c r="L126" s="8" t="s">
        <v>1483</v>
      </c>
      <c r="M126" s="8" t="s">
        <v>1483</v>
      </c>
      <c r="N126" s="8" t="s">
        <v>1483</v>
      </c>
    </row>
    <row r="127" spans="1:14" x14ac:dyDescent="0.25">
      <c r="A127" s="6" t="s">
        <v>2049</v>
      </c>
      <c r="B127" s="7"/>
      <c r="C127" s="7"/>
      <c r="D127" s="7"/>
      <c r="E127" s="8"/>
      <c r="F127" s="8"/>
      <c r="G127" s="8"/>
      <c r="H127" s="8"/>
      <c r="I127" s="8"/>
      <c r="J127" s="8"/>
      <c r="K127" s="8"/>
      <c r="L127" s="8"/>
      <c r="M127" s="8"/>
      <c r="N127" s="8"/>
    </row>
    <row r="128" spans="1:14" x14ac:dyDescent="0.25">
      <c r="A128" s="6" t="s">
        <v>2059</v>
      </c>
      <c r="B128" s="7" t="s">
        <v>1745</v>
      </c>
      <c r="C128" s="7" t="s">
        <v>2065</v>
      </c>
      <c r="D128" s="7" t="s">
        <v>2058</v>
      </c>
      <c r="E128" s="8" t="s">
        <v>1483</v>
      </c>
      <c r="F128" s="8" t="s">
        <v>1483</v>
      </c>
      <c r="G128" s="8" t="s">
        <v>1483</v>
      </c>
      <c r="H128" s="8" t="s">
        <v>1483</v>
      </c>
      <c r="I128" s="8" t="s">
        <v>1483</v>
      </c>
      <c r="J128" s="8" t="s">
        <v>1483</v>
      </c>
      <c r="K128" s="8" t="s">
        <v>1483</v>
      </c>
      <c r="L128" s="8" t="s">
        <v>1483</v>
      </c>
      <c r="M128" s="8" t="s">
        <v>1483</v>
      </c>
      <c r="N128" s="8" t="s">
        <v>1483</v>
      </c>
    </row>
    <row r="129" spans="1:14" x14ac:dyDescent="0.25">
      <c r="A129" s="6" t="s">
        <v>2048</v>
      </c>
      <c r="B129" s="7" t="s">
        <v>1745</v>
      </c>
      <c r="C129" s="7" t="s">
        <v>2065</v>
      </c>
      <c r="D129" s="7" t="s">
        <v>2047</v>
      </c>
      <c r="E129" s="8" t="s">
        <v>1483</v>
      </c>
      <c r="F129" s="8" t="s">
        <v>1483</v>
      </c>
      <c r="G129" s="8" t="s">
        <v>1483</v>
      </c>
      <c r="H129" s="8" t="s">
        <v>1483</v>
      </c>
      <c r="I129" s="8" t="s">
        <v>1483</v>
      </c>
      <c r="J129" s="8" t="s">
        <v>1483</v>
      </c>
      <c r="K129" s="8" t="s">
        <v>1483</v>
      </c>
      <c r="L129" s="8" t="s">
        <v>1483</v>
      </c>
      <c r="M129" s="8" t="s">
        <v>1483</v>
      </c>
      <c r="N129" s="8" t="s">
        <v>1483</v>
      </c>
    </row>
    <row r="130" spans="1:14" x14ac:dyDescent="0.25">
      <c r="A130" s="6" t="s">
        <v>2057</v>
      </c>
      <c r="B130" s="7" t="s">
        <v>1745</v>
      </c>
      <c r="C130" s="7" t="s">
        <v>2065</v>
      </c>
      <c r="D130" s="7" t="s">
        <v>2056</v>
      </c>
      <c r="E130" s="8" t="s">
        <v>1483</v>
      </c>
      <c r="F130" s="8" t="s">
        <v>1483</v>
      </c>
      <c r="G130" s="8" t="s">
        <v>1483</v>
      </c>
      <c r="H130" s="8" t="s">
        <v>1483</v>
      </c>
      <c r="I130" s="8" t="s">
        <v>1483</v>
      </c>
      <c r="J130" s="8" t="s">
        <v>1483</v>
      </c>
      <c r="K130" s="8" t="s">
        <v>1483</v>
      </c>
      <c r="L130" s="8" t="s">
        <v>1483</v>
      </c>
      <c r="M130" s="8" t="s">
        <v>1483</v>
      </c>
      <c r="N130" s="8" t="s">
        <v>1483</v>
      </c>
    </row>
    <row r="131" spans="1:14" x14ac:dyDescent="0.25">
      <c r="A131" s="6" t="s">
        <v>2055</v>
      </c>
      <c r="B131" s="7" t="s">
        <v>1745</v>
      </c>
      <c r="C131" s="7" t="s">
        <v>2065</v>
      </c>
      <c r="D131" s="7" t="s">
        <v>2054</v>
      </c>
      <c r="E131" s="8" t="s">
        <v>1483</v>
      </c>
      <c r="F131" s="8" t="s">
        <v>1483</v>
      </c>
      <c r="G131" s="8" t="s">
        <v>1483</v>
      </c>
      <c r="H131" s="8" t="s">
        <v>1483</v>
      </c>
      <c r="I131" s="8" t="s">
        <v>1483</v>
      </c>
      <c r="J131" s="8" t="s">
        <v>1483</v>
      </c>
      <c r="K131" s="8" t="s">
        <v>1483</v>
      </c>
      <c r="L131" s="8" t="s">
        <v>1483</v>
      </c>
      <c r="M131" s="8" t="s">
        <v>1483</v>
      </c>
      <c r="N131" s="8" t="s">
        <v>1483</v>
      </c>
    </row>
    <row r="132" spans="1:14" x14ac:dyDescent="0.25">
      <c r="A132" s="6" t="s">
        <v>2046</v>
      </c>
      <c r="B132" s="7" t="s">
        <v>1745</v>
      </c>
      <c r="C132" s="7" t="s">
        <v>2065</v>
      </c>
      <c r="D132" s="7" t="s">
        <v>2045</v>
      </c>
      <c r="E132" s="8" t="s">
        <v>1483</v>
      </c>
      <c r="F132" s="8" t="s">
        <v>1483</v>
      </c>
      <c r="G132" s="8" t="s">
        <v>1483</v>
      </c>
      <c r="H132" s="8" t="s">
        <v>1483</v>
      </c>
      <c r="I132" s="8" t="s">
        <v>1483</v>
      </c>
      <c r="J132" s="8" t="s">
        <v>1483</v>
      </c>
      <c r="K132" s="8" t="s">
        <v>1483</v>
      </c>
      <c r="L132" s="8" t="s">
        <v>1483</v>
      </c>
      <c r="M132" s="8" t="s">
        <v>1483</v>
      </c>
      <c r="N132" s="8" t="s">
        <v>1483</v>
      </c>
    </row>
    <row r="133" spans="1:14" x14ac:dyDescent="0.25">
      <c r="A133" s="6" t="s">
        <v>1406</v>
      </c>
      <c r="B133" s="7" t="s">
        <v>1745</v>
      </c>
      <c r="C133" s="7" t="s">
        <v>2065</v>
      </c>
      <c r="D133" s="7" t="s">
        <v>2044</v>
      </c>
      <c r="E133" s="8" t="s">
        <v>1483</v>
      </c>
      <c r="F133" s="8" t="s">
        <v>1483</v>
      </c>
      <c r="G133" s="8" t="s">
        <v>1483</v>
      </c>
      <c r="H133" s="8" t="s">
        <v>1483</v>
      </c>
      <c r="I133" s="8" t="s">
        <v>1483</v>
      </c>
      <c r="J133" s="8" t="s">
        <v>1483</v>
      </c>
      <c r="K133" s="8" t="s">
        <v>1483</v>
      </c>
      <c r="L133" s="8" t="s">
        <v>1483</v>
      </c>
      <c r="M133" s="8" t="s">
        <v>1483</v>
      </c>
      <c r="N133" s="8" t="s">
        <v>1483</v>
      </c>
    </row>
    <row r="134" spans="1:14" x14ac:dyDescent="0.25">
      <c r="A134" s="6" t="s">
        <v>17</v>
      </c>
      <c r="B134" s="7"/>
      <c r="C134" s="7"/>
      <c r="D134" s="7"/>
      <c r="E134" s="8"/>
      <c r="F134" s="8"/>
      <c r="G134" s="8"/>
      <c r="H134" s="8"/>
      <c r="I134" s="8"/>
      <c r="J134" s="8"/>
      <c r="K134" s="8"/>
      <c r="L134" s="8"/>
      <c r="M134" s="8"/>
      <c r="N134" s="8"/>
    </row>
    <row r="135" spans="1:14" x14ac:dyDescent="0.25">
      <c r="A135" s="6" t="s">
        <v>616</v>
      </c>
      <c r="B135" s="7" t="s">
        <v>615</v>
      </c>
      <c r="C135" s="7" t="s">
        <v>614</v>
      </c>
      <c r="D135" s="7"/>
      <c r="E135" s="8">
        <v>0</v>
      </c>
      <c r="F135" s="8">
        <v>0</v>
      </c>
      <c r="G135" s="8">
        <v>0</v>
      </c>
      <c r="H135" s="8">
        <v>0</v>
      </c>
      <c r="I135" s="8">
        <v>0</v>
      </c>
      <c r="J135" s="8">
        <v>0</v>
      </c>
      <c r="K135" s="8">
        <v>0</v>
      </c>
      <c r="L135" s="8">
        <v>0</v>
      </c>
      <c r="M135" s="8" t="s">
        <v>1483</v>
      </c>
      <c r="N135" s="8" t="s">
        <v>1483</v>
      </c>
    </row>
    <row r="136" spans="1:14" x14ac:dyDescent="0.25">
      <c r="A136" s="6" t="s">
        <v>100</v>
      </c>
      <c r="B136" s="7" t="s">
        <v>615</v>
      </c>
      <c r="C136" s="7" t="s">
        <v>614</v>
      </c>
      <c r="D136" s="7" t="s">
        <v>35</v>
      </c>
      <c r="E136" s="8" t="s">
        <v>1483</v>
      </c>
      <c r="F136" s="8" t="s">
        <v>1483</v>
      </c>
      <c r="G136" s="8" t="s">
        <v>1483</v>
      </c>
      <c r="H136" s="8" t="s">
        <v>1483</v>
      </c>
      <c r="I136" s="8" t="s">
        <v>1483</v>
      </c>
      <c r="J136" s="8" t="s">
        <v>1483</v>
      </c>
      <c r="K136" s="8" t="s">
        <v>1483</v>
      </c>
      <c r="L136" s="8" t="s">
        <v>1483</v>
      </c>
      <c r="M136" s="8" t="s">
        <v>1483</v>
      </c>
      <c r="N136" s="8" t="s">
        <v>1483</v>
      </c>
    </row>
    <row r="137" spans="1:14" x14ac:dyDescent="0.25">
      <c r="A137" s="6" t="s">
        <v>2050</v>
      </c>
      <c r="B137" s="7" t="s">
        <v>615</v>
      </c>
      <c r="C137" s="7" t="s">
        <v>614</v>
      </c>
      <c r="D137" s="7" t="s">
        <v>35</v>
      </c>
      <c r="E137" s="8" t="s">
        <v>1483</v>
      </c>
      <c r="F137" s="8" t="s">
        <v>1483</v>
      </c>
      <c r="G137" s="8" t="s">
        <v>1483</v>
      </c>
      <c r="H137" s="8" t="s">
        <v>1483</v>
      </c>
      <c r="I137" s="8" t="s">
        <v>1483</v>
      </c>
      <c r="J137" s="8" t="s">
        <v>1483</v>
      </c>
      <c r="K137" s="8" t="s">
        <v>1483</v>
      </c>
      <c r="L137" s="8" t="s">
        <v>1483</v>
      </c>
      <c r="M137" s="8" t="s">
        <v>1483</v>
      </c>
      <c r="N137" s="8" t="s">
        <v>1483</v>
      </c>
    </row>
    <row r="138" spans="1:14" x14ac:dyDescent="0.25">
      <c r="A138" s="6" t="s">
        <v>102</v>
      </c>
      <c r="B138" s="7" t="s">
        <v>615</v>
      </c>
      <c r="C138" s="7" t="s">
        <v>614</v>
      </c>
      <c r="D138" s="7" t="s">
        <v>37</v>
      </c>
      <c r="E138" s="8" t="s">
        <v>1483</v>
      </c>
      <c r="F138" s="8" t="s">
        <v>1483</v>
      </c>
      <c r="G138" s="8" t="s">
        <v>1483</v>
      </c>
      <c r="H138" s="8" t="s">
        <v>1483</v>
      </c>
      <c r="I138" s="8" t="s">
        <v>1483</v>
      </c>
      <c r="J138" s="8" t="s">
        <v>1483</v>
      </c>
      <c r="K138" s="8" t="s">
        <v>1483</v>
      </c>
      <c r="L138" s="8" t="s">
        <v>1483</v>
      </c>
      <c r="M138" s="8" t="s">
        <v>1483</v>
      </c>
      <c r="N138" s="8" t="s">
        <v>1483</v>
      </c>
    </row>
    <row r="139" spans="1:14" x14ac:dyDescent="0.25">
      <c r="A139" s="6" t="s">
        <v>2064</v>
      </c>
      <c r="B139" s="7" t="s">
        <v>615</v>
      </c>
      <c r="C139" s="7" t="s">
        <v>614</v>
      </c>
      <c r="D139" s="7" t="s">
        <v>37</v>
      </c>
      <c r="E139" s="8" t="s">
        <v>1483</v>
      </c>
      <c r="F139" s="8" t="s">
        <v>1483</v>
      </c>
      <c r="G139" s="8" t="s">
        <v>1483</v>
      </c>
      <c r="H139" s="8" t="s">
        <v>1483</v>
      </c>
      <c r="I139" s="8" t="s">
        <v>1483</v>
      </c>
      <c r="J139" s="8" t="s">
        <v>1483</v>
      </c>
      <c r="K139" s="8" t="s">
        <v>1483</v>
      </c>
      <c r="L139" s="8" t="s">
        <v>1483</v>
      </c>
      <c r="M139" s="8" t="s">
        <v>1483</v>
      </c>
      <c r="N139" s="8" t="s">
        <v>1483</v>
      </c>
    </row>
    <row r="140" spans="1:14" x14ac:dyDescent="0.25">
      <c r="A140" s="6" t="s">
        <v>2049</v>
      </c>
      <c r="B140" s="7"/>
      <c r="C140" s="7"/>
      <c r="D140" s="7"/>
      <c r="E140" s="8"/>
      <c r="F140" s="8"/>
      <c r="G140" s="8"/>
      <c r="H140" s="8"/>
      <c r="I140" s="8"/>
      <c r="J140" s="8"/>
      <c r="K140" s="8"/>
      <c r="L140" s="8"/>
      <c r="M140" s="8"/>
      <c r="N140" s="8"/>
    </row>
    <row r="141" spans="1:14" x14ac:dyDescent="0.25">
      <c r="A141" s="6" t="s">
        <v>2059</v>
      </c>
      <c r="B141" s="7" t="s">
        <v>615</v>
      </c>
      <c r="C141" s="7" t="s">
        <v>614</v>
      </c>
      <c r="D141" s="7" t="s">
        <v>2058</v>
      </c>
      <c r="E141" s="8" t="s">
        <v>1483</v>
      </c>
      <c r="F141" s="8" t="s">
        <v>1483</v>
      </c>
      <c r="G141" s="8" t="s">
        <v>1483</v>
      </c>
      <c r="H141" s="8" t="s">
        <v>1483</v>
      </c>
      <c r="I141" s="8" t="s">
        <v>1483</v>
      </c>
      <c r="J141" s="8" t="s">
        <v>1483</v>
      </c>
      <c r="K141" s="8" t="s">
        <v>1483</v>
      </c>
      <c r="L141" s="8" t="s">
        <v>1483</v>
      </c>
      <c r="M141" s="8" t="s">
        <v>1483</v>
      </c>
      <c r="N141" s="8" t="s">
        <v>1483</v>
      </c>
    </row>
    <row r="142" spans="1:14" x14ac:dyDescent="0.25">
      <c r="A142" s="6" t="s">
        <v>2057</v>
      </c>
      <c r="B142" s="7" t="s">
        <v>615</v>
      </c>
      <c r="C142" s="7" t="s">
        <v>614</v>
      </c>
      <c r="D142" s="7" t="s">
        <v>2056</v>
      </c>
      <c r="E142" s="8" t="s">
        <v>1483</v>
      </c>
      <c r="F142" s="8" t="s">
        <v>1483</v>
      </c>
      <c r="G142" s="8" t="s">
        <v>1483</v>
      </c>
      <c r="H142" s="8" t="s">
        <v>1483</v>
      </c>
      <c r="I142" s="8" t="s">
        <v>1483</v>
      </c>
      <c r="J142" s="8" t="s">
        <v>1483</v>
      </c>
      <c r="K142" s="8" t="s">
        <v>1483</v>
      </c>
      <c r="L142" s="8" t="s">
        <v>1483</v>
      </c>
      <c r="M142" s="8" t="s">
        <v>1483</v>
      </c>
      <c r="N142" s="8" t="s">
        <v>1483</v>
      </c>
    </row>
    <row r="143" spans="1:14" x14ac:dyDescent="0.25">
      <c r="A143" s="6" t="s">
        <v>2055</v>
      </c>
      <c r="B143" s="7" t="s">
        <v>615</v>
      </c>
      <c r="C143" s="7" t="s">
        <v>614</v>
      </c>
      <c r="D143" s="7" t="s">
        <v>2054</v>
      </c>
      <c r="E143" s="8" t="s">
        <v>1483</v>
      </c>
      <c r="F143" s="8" t="s">
        <v>1483</v>
      </c>
      <c r="G143" s="8" t="s">
        <v>1483</v>
      </c>
      <c r="H143" s="8" t="s">
        <v>1483</v>
      </c>
      <c r="I143" s="8" t="s">
        <v>1483</v>
      </c>
      <c r="J143" s="8" t="s">
        <v>1483</v>
      </c>
      <c r="K143" s="8" t="s">
        <v>1483</v>
      </c>
      <c r="L143" s="8" t="s">
        <v>1483</v>
      </c>
      <c r="M143" s="8" t="s">
        <v>1483</v>
      </c>
      <c r="N143" s="8" t="s">
        <v>1483</v>
      </c>
    </row>
    <row r="144" spans="1:14" x14ac:dyDescent="0.25">
      <c r="A144" s="6" t="s">
        <v>2046</v>
      </c>
      <c r="B144" s="7" t="s">
        <v>615</v>
      </c>
      <c r="C144" s="7" t="s">
        <v>614</v>
      </c>
      <c r="D144" s="7" t="s">
        <v>2045</v>
      </c>
      <c r="E144" s="8" t="s">
        <v>1483</v>
      </c>
      <c r="F144" s="8" t="s">
        <v>1483</v>
      </c>
      <c r="G144" s="8" t="s">
        <v>1483</v>
      </c>
      <c r="H144" s="8" t="s">
        <v>1483</v>
      </c>
      <c r="I144" s="8" t="s">
        <v>1483</v>
      </c>
      <c r="J144" s="8" t="s">
        <v>1483</v>
      </c>
      <c r="K144" s="8" t="s">
        <v>1483</v>
      </c>
      <c r="L144" s="8" t="s">
        <v>1483</v>
      </c>
      <c r="M144" s="8" t="s">
        <v>1483</v>
      </c>
      <c r="N144" s="8" t="s">
        <v>1483</v>
      </c>
    </row>
    <row r="145" spans="1:14" x14ac:dyDescent="0.25">
      <c r="A145" s="6" t="s">
        <v>1406</v>
      </c>
      <c r="B145" s="7" t="s">
        <v>615</v>
      </c>
      <c r="C145" s="7" t="s">
        <v>614</v>
      </c>
      <c r="D145" s="7" t="s">
        <v>2044</v>
      </c>
      <c r="E145" s="8" t="s">
        <v>1483</v>
      </c>
      <c r="F145" s="8" t="s">
        <v>1483</v>
      </c>
      <c r="G145" s="8" t="s">
        <v>1483</v>
      </c>
      <c r="H145" s="8" t="s">
        <v>1483</v>
      </c>
      <c r="I145" s="8" t="s">
        <v>1483</v>
      </c>
      <c r="J145" s="8" t="s">
        <v>1483</v>
      </c>
      <c r="K145" s="8" t="s">
        <v>1483</v>
      </c>
      <c r="L145" s="8" t="s">
        <v>1483</v>
      </c>
      <c r="M145" s="8" t="s">
        <v>1483</v>
      </c>
      <c r="N145" s="8" t="s">
        <v>1483</v>
      </c>
    </row>
    <row r="146" spans="1:14" x14ac:dyDescent="0.25">
      <c r="A146" s="6" t="s">
        <v>17</v>
      </c>
      <c r="B146" s="7"/>
      <c r="C146" s="7"/>
      <c r="D146" s="7"/>
      <c r="E146" s="8"/>
      <c r="F146" s="8"/>
      <c r="G146" s="8"/>
      <c r="H146" s="8"/>
      <c r="I146" s="8"/>
      <c r="J146" s="8"/>
      <c r="K146" s="8"/>
      <c r="L146" s="8"/>
      <c r="M146" s="8"/>
      <c r="N146" s="8"/>
    </row>
    <row r="147" spans="1:14" x14ac:dyDescent="0.25">
      <c r="A147" s="6" t="s">
        <v>2063</v>
      </c>
      <c r="B147" s="7" t="s">
        <v>2062</v>
      </c>
      <c r="C147" s="7" t="s">
        <v>2061</v>
      </c>
      <c r="D147" s="7"/>
      <c r="E147" s="8" t="s">
        <v>1483</v>
      </c>
      <c r="F147" s="8" t="s">
        <v>1483</v>
      </c>
      <c r="G147" s="8" t="s">
        <v>1483</v>
      </c>
      <c r="H147" s="8" t="s">
        <v>1483</v>
      </c>
      <c r="I147" s="8" t="s">
        <v>1483</v>
      </c>
      <c r="J147" s="8" t="s">
        <v>1483</v>
      </c>
      <c r="K147" s="8" t="s">
        <v>1483</v>
      </c>
      <c r="L147" s="8" t="s">
        <v>1483</v>
      </c>
      <c r="M147" s="8" t="s">
        <v>1483</v>
      </c>
      <c r="N147" s="8" t="s">
        <v>1483</v>
      </c>
    </row>
    <row r="148" spans="1:14" x14ac:dyDescent="0.25">
      <c r="A148" s="6" t="s">
        <v>100</v>
      </c>
      <c r="B148" s="7" t="s">
        <v>2062</v>
      </c>
      <c r="C148" s="7" t="s">
        <v>2061</v>
      </c>
      <c r="D148" s="7" t="s">
        <v>35</v>
      </c>
      <c r="E148" s="8" t="s">
        <v>1483</v>
      </c>
      <c r="F148" s="8">
        <v>57</v>
      </c>
      <c r="G148" s="8">
        <v>58</v>
      </c>
      <c r="H148" s="8">
        <v>56</v>
      </c>
      <c r="I148" s="8">
        <v>59</v>
      </c>
      <c r="J148" s="8">
        <v>59</v>
      </c>
      <c r="K148" s="8">
        <v>60</v>
      </c>
      <c r="L148" s="8">
        <v>62</v>
      </c>
      <c r="M148" s="8">
        <v>63.892693721570566</v>
      </c>
      <c r="N148" s="8">
        <v>64.711924830472</v>
      </c>
    </row>
    <row r="149" spans="1:14" x14ac:dyDescent="0.25">
      <c r="A149" s="6" t="s">
        <v>2050</v>
      </c>
      <c r="B149" s="7" t="s">
        <v>2062</v>
      </c>
      <c r="C149" s="7" t="s">
        <v>2061</v>
      </c>
      <c r="D149" s="7" t="s">
        <v>35</v>
      </c>
      <c r="E149" s="8" t="s">
        <v>1483</v>
      </c>
      <c r="F149" s="8" t="s">
        <v>1483</v>
      </c>
      <c r="G149" s="8" t="s">
        <v>1483</v>
      </c>
      <c r="H149" s="8" t="s">
        <v>1483</v>
      </c>
      <c r="I149" s="8" t="s">
        <v>1483</v>
      </c>
      <c r="J149" s="8" t="s">
        <v>1483</v>
      </c>
      <c r="K149" s="8" t="s">
        <v>1483</v>
      </c>
      <c r="L149" s="8" t="s">
        <v>1483</v>
      </c>
      <c r="M149" s="8" t="s">
        <v>1483</v>
      </c>
      <c r="N149" s="8" t="s">
        <v>1483</v>
      </c>
    </row>
    <row r="150" spans="1:14" x14ac:dyDescent="0.25">
      <c r="A150" s="6" t="s">
        <v>85</v>
      </c>
      <c r="B150" s="7" t="s">
        <v>2062</v>
      </c>
      <c r="C150" s="7" t="s">
        <v>2061</v>
      </c>
      <c r="D150" s="7" t="s">
        <v>22</v>
      </c>
      <c r="E150" s="8" t="s">
        <v>1483</v>
      </c>
      <c r="F150" s="8">
        <v>43</v>
      </c>
      <c r="G150" s="8">
        <v>42</v>
      </c>
      <c r="H150" s="8">
        <v>44</v>
      </c>
      <c r="I150" s="8">
        <v>41</v>
      </c>
      <c r="J150" s="8">
        <v>41</v>
      </c>
      <c r="K150" s="8">
        <v>40</v>
      </c>
      <c r="L150" s="8">
        <v>38</v>
      </c>
      <c r="M150" s="8">
        <v>36.695625654639812</v>
      </c>
      <c r="N150" s="8">
        <v>36.257516527165322</v>
      </c>
    </row>
    <row r="151" spans="1:14" x14ac:dyDescent="0.25">
      <c r="A151" s="6" t="s">
        <v>2050</v>
      </c>
      <c r="B151" s="7" t="s">
        <v>2062</v>
      </c>
      <c r="C151" s="7" t="s">
        <v>2061</v>
      </c>
      <c r="D151" s="7" t="s">
        <v>22</v>
      </c>
      <c r="E151" s="8" t="s">
        <v>1483</v>
      </c>
      <c r="F151" s="8" t="s">
        <v>1483</v>
      </c>
      <c r="G151" s="8" t="s">
        <v>1483</v>
      </c>
      <c r="H151" s="8" t="s">
        <v>1483</v>
      </c>
      <c r="I151" s="8" t="s">
        <v>1483</v>
      </c>
      <c r="J151" s="8" t="s">
        <v>1483</v>
      </c>
      <c r="K151" s="8" t="s">
        <v>1483</v>
      </c>
      <c r="L151" s="8" t="s">
        <v>1483</v>
      </c>
      <c r="M151" s="8" t="s">
        <v>1483</v>
      </c>
      <c r="N151" s="8" t="s">
        <v>1483</v>
      </c>
    </row>
    <row r="152" spans="1:14" x14ac:dyDescent="0.25">
      <c r="A152" s="6" t="s">
        <v>17</v>
      </c>
      <c r="B152" s="7"/>
      <c r="C152" s="7"/>
      <c r="D152" s="7"/>
      <c r="E152" s="8"/>
      <c r="F152" s="8"/>
      <c r="G152" s="8"/>
      <c r="H152" s="8"/>
      <c r="I152" s="8"/>
      <c r="J152" s="8"/>
      <c r="K152" s="8"/>
      <c r="L152" s="8"/>
      <c r="M152" s="8"/>
      <c r="N152" s="8"/>
    </row>
    <row r="153" spans="1:14" x14ac:dyDescent="0.25">
      <c r="A153" s="6" t="s">
        <v>2060</v>
      </c>
      <c r="B153" s="7" t="s">
        <v>2053</v>
      </c>
      <c r="C153" s="7" t="s">
        <v>2052</v>
      </c>
      <c r="D153" s="7"/>
      <c r="E153" s="8">
        <v>572</v>
      </c>
      <c r="F153" s="8">
        <v>649</v>
      </c>
      <c r="G153" s="8">
        <v>487</v>
      </c>
      <c r="H153" s="8">
        <v>525</v>
      </c>
      <c r="I153" s="8">
        <v>588</v>
      </c>
      <c r="J153" s="8">
        <v>575</v>
      </c>
      <c r="K153" s="8">
        <v>755</v>
      </c>
      <c r="L153" s="8">
        <v>761</v>
      </c>
      <c r="M153" s="8" t="s">
        <v>1483</v>
      </c>
      <c r="N153" s="8" t="s">
        <v>1483</v>
      </c>
    </row>
    <row r="154" spans="1:14" x14ac:dyDescent="0.25">
      <c r="A154" s="6" t="s">
        <v>100</v>
      </c>
      <c r="B154" s="7" t="s">
        <v>2053</v>
      </c>
      <c r="C154" s="7" t="s">
        <v>2052</v>
      </c>
      <c r="D154" s="7" t="s">
        <v>35</v>
      </c>
      <c r="E154" s="8" t="s">
        <v>1483</v>
      </c>
      <c r="F154" s="8" t="s">
        <v>1483</v>
      </c>
      <c r="G154" s="8" t="s">
        <v>1483</v>
      </c>
      <c r="H154" s="8" t="s">
        <v>1483</v>
      </c>
      <c r="I154" s="8">
        <v>173</v>
      </c>
      <c r="J154" s="8" t="s">
        <v>1483</v>
      </c>
      <c r="K154" s="8" t="s">
        <v>1483</v>
      </c>
      <c r="L154" s="8" t="s">
        <v>1483</v>
      </c>
      <c r="M154" s="8" t="s">
        <v>1483</v>
      </c>
      <c r="N154" s="8" t="s">
        <v>1483</v>
      </c>
    </row>
    <row r="155" spans="1:14" x14ac:dyDescent="0.25">
      <c r="A155" s="6" t="s">
        <v>2050</v>
      </c>
      <c r="B155" s="7" t="s">
        <v>2053</v>
      </c>
      <c r="C155" s="7" t="s">
        <v>2052</v>
      </c>
      <c r="D155" s="7" t="s">
        <v>35</v>
      </c>
      <c r="E155" s="8" t="s">
        <v>1483</v>
      </c>
      <c r="F155" s="8" t="s">
        <v>1483</v>
      </c>
      <c r="G155" s="8" t="s">
        <v>1483</v>
      </c>
      <c r="H155" s="8" t="s">
        <v>1483</v>
      </c>
      <c r="I155" s="8">
        <v>29.421768707482993</v>
      </c>
      <c r="J155" s="8" t="s">
        <v>1483</v>
      </c>
      <c r="K155" s="8" t="s">
        <v>1483</v>
      </c>
      <c r="L155" s="8" t="s">
        <v>1483</v>
      </c>
      <c r="M155" s="8" t="s">
        <v>1483</v>
      </c>
      <c r="N155" s="8" t="s">
        <v>1483</v>
      </c>
    </row>
    <row r="156" spans="1:14" x14ac:dyDescent="0.25">
      <c r="A156" s="6" t="s">
        <v>85</v>
      </c>
      <c r="B156" s="7" t="s">
        <v>2053</v>
      </c>
      <c r="C156" s="7" t="s">
        <v>2052</v>
      </c>
      <c r="D156" s="7" t="s">
        <v>22</v>
      </c>
      <c r="E156" s="8" t="s">
        <v>1483</v>
      </c>
      <c r="F156" s="8" t="s">
        <v>1483</v>
      </c>
      <c r="G156" s="8" t="s">
        <v>1483</v>
      </c>
      <c r="H156" s="8" t="s">
        <v>1483</v>
      </c>
      <c r="I156" s="8">
        <v>175</v>
      </c>
      <c r="J156" s="8" t="s">
        <v>1483</v>
      </c>
      <c r="K156" s="8" t="s">
        <v>1483</v>
      </c>
      <c r="L156" s="8" t="s">
        <v>1483</v>
      </c>
      <c r="M156" s="8" t="s">
        <v>1483</v>
      </c>
      <c r="N156" s="8" t="s">
        <v>1483</v>
      </c>
    </row>
    <row r="157" spans="1:14" x14ac:dyDescent="0.25">
      <c r="A157" s="6" t="s">
        <v>2050</v>
      </c>
      <c r="B157" s="7" t="s">
        <v>2053</v>
      </c>
      <c r="C157" s="7" t="s">
        <v>2052</v>
      </c>
      <c r="D157" s="7" t="s">
        <v>22</v>
      </c>
      <c r="E157" s="8" t="s">
        <v>1483</v>
      </c>
      <c r="F157" s="8" t="s">
        <v>1483</v>
      </c>
      <c r="G157" s="8" t="s">
        <v>1483</v>
      </c>
      <c r="H157" s="8" t="s">
        <v>1483</v>
      </c>
      <c r="I157" s="8">
        <v>29.761904761904763</v>
      </c>
      <c r="J157" s="8" t="s">
        <v>1483</v>
      </c>
      <c r="K157" s="8" t="s">
        <v>1483</v>
      </c>
      <c r="L157" s="8" t="s">
        <v>1483</v>
      </c>
      <c r="M157" s="8" t="s">
        <v>1483</v>
      </c>
      <c r="N157" s="8" t="s">
        <v>1483</v>
      </c>
    </row>
    <row r="158" spans="1:14" x14ac:dyDescent="0.25">
      <c r="A158" s="6" t="s">
        <v>2049</v>
      </c>
      <c r="B158" s="7"/>
      <c r="C158" s="7"/>
      <c r="D158" s="7"/>
      <c r="E158" s="8"/>
      <c r="F158" s="8"/>
      <c r="G158" s="8"/>
      <c r="H158" s="8"/>
      <c r="I158" s="8"/>
      <c r="J158" s="8"/>
      <c r="K158" s="8"/>
      <c r="L158" s="8"/>
      <c r="M158" s="8"/>
      <c r="N158" s="8"/>
    </row>
    <row r="159" spans="1:14" x14ac:dyDescent="0.25">
      <c r="A159" s="6" t="s">
        <v>2059</v>
      </c>
      <c r="B159" s="7" t="s">
        <v>2053</v>
      </c>
      <c r="C159" s="7" t="s">
        <v>2052</v>
      </c>
      <c r="D159" s="7" t="s">
        <v>2058</v>
      </c>
      <c r="E159" s="8" t="s">
        <v>1483</v>
      </c>
      <c r="F159" s="8" t="s">
        <v>1483</v>
      </c>
      <c r="G159" s="8" t="s">
        <v>1483</v>
      </c>
      <c r="H159" s="8" t="s">
        <v>1483</v>
      </c>
      <c r="I159" s="8" t="s">
        <v>1483</v>
      </c>
      <c r="J159" s="8" t="s">
        <v>1483</v>
      </c>
      <c r="K159" s="8" t="s">
        <v>1483</v>
      </c>
      <c r="L159" s="8" t="s">
        <v>1483</v>
      </c>
      <c r="M159" s="8" t="s">
        <v>1483</v>
      </c>
      <c r="N159" s="8" t="s">
        <v>1483</v>
      </c>
    </row>
    <row r="160" spans="1:14" x14ac:dyDescent="0.25">
      <c r="A160" s="6" t="s">
        <v>2048</v>
      </c>
      <c r="B160" s="7" t="s">
        <v>2053</v>
      </c>
      <c r="C160" s="7" t="s">
        <v>2052</v>
      </c>
      <c r="D160" s="7" t="s">
        <v>2047</v>
      </c>
      <c r="E160" s="8">
        <v>31</v>
      </c>
      <c r="F160" s="8">
        <v>29</v>
      </c>
      <c r="G160" s="8">
        <v>28</v>
      </c>
      <c r="H160" s="8" t="s">
        <v>1483</v>
      </c>
      <c r="I160" s="8" t="s">
        <v>1483</v>
      </c>
      <c r="J160" s="8" t="s">
        <v>1483</v>
      </c>
      <c r="K160" s="8" t="s">
        <v>1483</v>
      </c>
      <c r="L160" s="8" t="s">
        <v>1483</v>
      </c>
      <c r="M160" s="8" t="s">
        <v>1483</v>
      </c>
      <c r="N160" s="8" t="s">
        <v>1483</v>
      </c>
    </row>
    <row r="161" spans="1:14" x14ac:dyDescent="0.25">
      <c r="A161" s="6" t="s">
        <v>2057</v>
      </c>
      <c r="B161" s="7" t="s">
        <v>2053</v>
      </c>
      <c r="C161" s="7" t="s">
        <v>2052</v>
      </c>
      <c r="D161" s="7" t="s">
        <v>2056</v>
      </c>
      <c r="E161" s="8">
        <v>190</v>
      </c>
      <c r="F161" s="8">
        <v>230</v>
      </c>
      <c r="G161" s="8">
        <v>145</v>
      </c>
      <c r="H161" s="8" t="s">
        <v>1483</v>
      </c>
      <c r="I161" s="8" t="s">
        <v>1483</v>
      </c>
      <c r="J161" s="8" t="s">
        <v>1483</v>
      </c>
      <c r="K161" s="8" t="s">
        <v>1483</v>
      </c>
      <c r="L161" s="8" t="s">
        <v>1483</v>
      </c>
      <c r="M161" s="8" t="s">
        <v>1483</v>
      </c>
      <c r="N161" s="8" t="s">
        <v>1483</v>
      </c>
    </row>
    <row r="162" spans="1:14" x14ac:dyDescent="0.25">
      <c r="A162" s="6" t="s">
        <v>2055</v>
      </c>
      <c r="B162" s="7" t="s">
        <v>2053</v>
      </c>
      <c r="C162" s="7" t="s">
        <v>2052</v>
      </c>
      <c r="D162" s="7" t="s">
        <v>2054</v>
      </c>
      <c r="E162" s="8" t="s">
        <v>1483</v>
      </c>
      <c r="F162" s="8" t="s">
        <v>1483</v>
      </c>
      <c r="G162" s="8" t="s">
        <v>1483</v>
      </c>
      <c r="H162" s="8" t="s">
        <v>1483</v>
      </c>
      <c r="I162" s="8" t="s">
        <v>1483</v>
      </c>
      <c r="J162" s="8" t="s">
        <v>1483</v>
      </c>
      <c r="K162" s="8" t="s">
        <v>1483</v>
      </c>
      <c r="L162" s="8" t="s">
        <v>1483</v>
      </c>
      <c r="M162" s="8" t="s">
        <v>1483</v>
      </c>
      <c r="N162" s="8" t="s">
        <v>1483</v>
      </c>
    </row>
    <row r="163" spans="1:14" x14ac:dyDescent="0.25">
      <c r="A163" s="6" t="s">
        <v>2046</v>
      </c>
      <c r="B163" s="7" t="s">
        <v>2053</v>
      </c>
      <c r="C163" s="7" t="s">
        <v>2052</v>
      </c>
      <c r="D163" s="7" t="s">
        <v>2045</v>
      </c>
      <c r="E163" s="8">
        <v>134</v>
      </c>
      <c r="F163" s="8">
        <v>125</v>
      </c>
      <c r="G163" s="8">
        <v>140</v>
      </c>
      <c r="H163" s="8" t="s">
        <v>1483</v>
      </c>
      <c r="I163" s="8" t="s">
        <v>1483</v>
      </c>
      <c r="J163" s="8" t="s">
        <v>1483</v>
      </c>
      <c r="K163" s="8" t="s">
        <v>1483</v>
      </c>
      <c r="L163" s="8" t="s">
        <v>1483</v>
      </c>
      <c r="M163" s="8" t="s">
        <v>1483</v>
      </c>
      <c r="N163" s="8" t="s">
        <v>1483</v>
      </c>
    </row>
    <row r="164" spans="1:14" x14ac:dyDescent="0.25">
      <c r="A164" s="6" t="s">
        <v>1406</v>
      </c>
      <c r="B164" s="7" t="s">
        <v>2053</v>
      </c>
      <c r="C164" s="7" t="s">
        <v>2052</v>
      </c>
      <c r="D164" s="7" t="s">
        <v>2044</v>
      </c>
      <c r="E164" s="8">
        <v>217</v>
      </c>
      <c r="F164" s="8">
        <v>265</v>
      </c>
      <c r="G164" s="8">
        <v>174</v>
      </c>
      <c r="H164" s="8" t="s">
        <v>1483</v>
      </c>
      <c r="I164" s="8" t="s">
        <v>1483</v>
      </c>
      <c r="J164" s="8" t="s">
        <v>1483</v>
      </c>
      <c r="K164" s="8" t="s">
        <v>1483</v>
      </c>
      <c r="L164" s="8" t="s">
        <v>1483</v>
      </c>
      <c r="M164" s="8" t="s">
        <v>1483</v>
      </c>
      <c r="N164" s="8" t="s">
        <v>1483</v>
      </c>
    </row>
    <row r="165" spans="1:14" x14ac:dyDescent="0.25">
      <c r="A165" s="6" t="s">
        <v>17</v>
      </c>
      <c r="B165" s="7"/>
      <c r="C165" s="7"/>
      <c r="D165" s="7"/>
      <c r="E165" s="8"/>
      <c r="F165" s="8"/>
      <c r="G165" s="8"/>
      <c r="H165" s="8"/>
      <c r="I165" s="8"/>
      <c r="J165" s="8"/>
      <c r="K165" s="8"/>
      <c r="L165" s="8"/>
      <c r="M165" s="8"/>
      <c r="N165" s="8"/>
    </row>
    <row r="166" spans="1:14" x14ac:dyDescent="0.25">
      <c r="A166" s="6" t="s">
        <v>2051</v>
      </c>
      <c r="B166" s="7" t="s">
        <v>295</v>
      </c>
      <c r="C166" s="7" t="s">
        <v>296</v>
      </c>
      <c r="D166" s="7"/>
      <c r="E166" s="8">
        <v>0</v>
      </c>
      <c r="F166" s="8">
        <v>9069</v>
      </c>
      <c r="G166" s="8">
        <v>12778</v>
      </c>
      <c r="H166" s="8">
        <v>12918</v>
      </c>
      <c r="I166" s="8">
        <v>14880</v>
      </c>
      <c r="J166" s="8">
        <v>15243</v>
      </c>
      <c r="K166" s="8">
        <v>15855</v>
      </c>
      <c r="L166" s="8">
        <v>19291</v>
      </c>
      <c r="M166" s="8">
        <v>19881.475720604365</v>
      </c>
      <c r="N166" s="8">
        <v>20049.889735040535</v>
      </c>
    </row>
    <row r="167" spans="1:14" x14ac:dyDescent="0.25">
      <c r="A167" s="6" t="s">
        <v>100</v>
      </c>
      <c r="B167" s="7" t="s">
        <v>295</v>
      </c>
      <c r="C167" s="7" t="s">
        <v>296</v>
      </c>
      <c r="D167" s="7" t="s">
        <v>35</v>
      </c>
      <c r="E167" s="8" t="s">
        <v>1483</v>
      </c>
      <c r="F167" s="8" t="s">
        <v>1483</v>
      </c>
      <c r="G167" s="8" t="s">
        <v>1483</v>
      </c>
      <c r="H167" s="8" t="s">
        <v>1483</v>
      </c>
      <c r="I167" s="8">
        <v>7935</v>
      </c>
      <c r="J167" s="8">
        <v>8270</v>
      </c>
      <c r="K167" s="8">
        <v>9208</v>
      </c>
      <c r="L167" s="8">
        <v>12556</v>
      </c>
      <c r="M167" s="8" t="s">
        <v>1483</v>
      </c>
      <c r="N167" s="8" t="s">
        <v>1483</v>
      </c>
    </row>
    <row r="168" spans="1:14" x14ac:dyDescent="0.25">
      <c r="A168" s="6" t="s">
        <v>2050</v>
      </c>
      <c r="B168" s="7" t="s">
        <v>295</v>
      </c>
      <c r="C168" s="7" t="s">
        <v>296</v>
      </c>
      <c r="D168" s="7" t="s">
        <v>35</v>
      </c>
      <c r="E168" s="8" t="s">
        <v>1483</v>
      </c>
      <c r="F168" s="8" t="s">
        <v>1483</v>
      </c>
      <c r="G168" s="8" t="s">
        <v>1483</v>
      </c>
      <c r="H168" s="8" t="s">
        <v>1483</v>
      </c>
      <c r="I168" s="8">
        <v>53.326612903225808</v>
      </c>
      <c r="J168" s="8">
        <v>54.254411861182184</v>
      </c>
      <c r="K168" s="8">
        <v>58.076316619362977</v>
      </c>
      <c r="L168" s="8">
        <v>65.087346430978172</v>
      </c>
      <c r="M168" s="8" t="s">
        <v>1483</v>
      </c>
      <c r="N168" s="8" t="s">
        <v>1483</v>
      </c>
    </row>
    <row r="169" spans="1:14" x14ac:dyDescent="0.25">
      <c r="A169" s="6" t="s">
        <v>85</v>
      </c>
      <c r="B169" s="7" t="s">
        <v>295</v>
      </c>
      <c r="C169" s="7" t="s">
        <v>296</v>
      </c>
      <c r="D169" s="7" t="s">
        <v>22</v>
      </c>
      <c r="E169" s="8" t="s">
        <v>1483</v>
      </c>
      <c r="F169" s="8" t="s">
        <v>1483</v>
      </c>
      <c r="G169" s="8" t="s">
        <v>1483</v>
      </c>
      <c r="H169" s="8" t="s">
        <v>1483</v>
      </c>
      <c r="I169" s="8">
        <v>6945</v>
      </c>
      <c r="J169" s="8">
        <v>6973</v>
      </c>
      <c r="K169" s="8">
        <v>6647</v>
      </c>
      <c r="L169" s="8">
        <v>6735</v>
      </c>
      <c r="M169" s="8" t="s">
        <v>1483</v>
      </c>
      <c r="N169" s="8" t="s">
        <v>1483</v>
      </c>
    </row>
    <row r="170" spans="1:14" x14ac:dyDescent="0.25">
      <c r="A170" s="6" t="s">
        <v>2050</v>
      </c>
      <c r="B170" s="7" t="s">
        <v>295</v>
      </c>
      <c r="C170" s="7" t="s">
        <v>296</v>
      </c>
      <c r="D170" s="7" t="s">
        <v>22</v>
      </c>
      <c r="E170" s="8" t="s">
        <v>1483</v>
      </c>
      <c r="F170" s="8" t="s">
        <v>1483</v>
      </c>
      <c r="G170" s="8" t="s">
        <v>1483</v>
      </c>
      <c r="H170" s="8" t="s">
        <v>1483</v>
      </c>
      <c r="I170" s="8">
        <v>46.673387096774192</v>
      </c>
      <c r="J170" s="8">
        <v>45.745588138817816</v>
      </c>
      <c r="K170" s="8">
        <v>41.923683380637023</v>
      </c>
      <c r="L170" s="8">
        <v>34.91265356902182</v>
      </c>
      <c r="M170" s="8" t="s">
        <v>1483</v>
      </c>
      <c r="N170" s="8" t="s">
        <v>1483</v>
      </c>
    </row>
    <row r="171" spans="1:14" x14ac:dyDescent="0.25">
      <c r="A171" s="6" t="s">
        <v>2049</v>
      </c>
      <c r="B171" s="7"/>
      <c r="C171" s="7"/>
      <c r="D171" s="7"/>
      <c r="E171" s="8"/>
      <c r="F171" s="8"/>
      <c r="G171" s="8"/>
      <c r="H171" s="8"/>
      <c r="I171" s="8"/>
      <c r="J171" s="8"/>
      <c r="K171" s="8"/>
      <c r="L171" s="8"/>
      <c r="M171" s="8"/>
      <c r="N171" s="8"/>
    </row>
    <row r="172" spans="1:14" x14ac:dyDescent="0.25">
      <c r="A172" s="6" t="s">
        <v>2048</v>
      </c>
      <c r="B172" s="7" t="s">
        <v>295</v>
      </c>
      <c r="C172" s="7" t="s">
        <v>296</v>
      </c>
      <c r="D172" s="7" t="s">
        <v>2047</v>
      </c>
      <c r="E172" s="8">
        <v>2583</v>
      </c>
      <c r="F172" s="8">
        <v>2884</v>
      </c>
      <c r="G172" s="8">
        <v>2943</v>
      </c>
      <c r="H172" s="8" t="s">
        <v>1483</v>
      </c>
      <c r="I172" s="8" t="s">
        <v>1483</v>
      </c>
      <c r="J172" s="8" t="s">
        <v>1483</v>
      </c>
      <c r="K172" s="8" t="s">
        <v>1483</v>
      </c>
      <c r="L172" s="8" t="s">
        <v>1483</v>
      </c>
      <c r="M172" s="8" t="s">
        <v>1483</v>
      </c>
      <c r="N172" s="8" t="s">
        <v>1483</v>
      </c>
    </row>
    <row r="173" spans="1:14" x14ac:dyDescent="0.25">
      <c r="A173" s="6" t="s">
        <v>2046</v>
      </c>
      <c r="B173" s="7" t="s">
        <v>295</v>
      </c>
      <c r="C173" s="7" t="s">
        <v>296</v>
      </c>
      <c r="D173" s="7" t="s">
        <v>2045</v>
      </c>
      <c r="E173" s="8">
        <v>2399</v>
      </c>
      <c r="F173" s="8">
        <v>2386</v>
      </c>
      <c r="G173" s="8">
        <v>6004</v>
      </c>
      <c r="H173" s="8" t="s">
        <v>1483</v>
      </c>
      <c r="I173" s="8" t="s">
        <v>1483</v>
      </c>
      <c r="J173" s="8" t="s">
        <v>1483</v>
      </c>
      <c r="K173" s="8" t="s">
        <v>1483</v>
      </c>
      <c r="L173" s="8" t="s">
        <v>1483</v>
      </c>
      <c r="M173" s="8" t="s">
        <v>1483</v>
      </c>
      <c r="N173" s="8" t="s">
        <v>1483</v>
      </c>
    </row>
    <row r="174" spans="1:14" x14ac:dyDescent="0.25">
      <c r="A174" s="6" t="s">
        <v>1406</v>
      </c>
      <c r="B174" s="7" t="s">
        <v>295</v>
      </c>
      <c r="C174" s="7" t="s">
        <v>296</v>
      </c>
      <c r="D174" s="7" t="s">
        <v>2044</v>
      </c>
      <c r="E174" s="8">
        <v>3581</v>
      </c>
      <c r="F174" s="8">
        <v>3799</v>
      </c>
      <c r="G174" s="8">
        <v>3831</v>
      </c>
      <c r="H174" s="8" t="s">
        <v>1483</v>
      </c>
      <c r="I174" s="8" t="s">
        <v>1483</v>
      </c>
      <c r="J174" s="8" t="s">
        <v>1483</v>
      </c>
      <c r="K174" s="8" t="s">
        <v>1483</v>
      </c>
      <c r="L174" s="8" t="s">
        <v>1483</v>
      </c>
      <c r="M174" s="8" t="s">
        <v>1483</v>
      </c>
      <c r="N174" s="8" t="s">
        <v>1483</v>
      </c>
    </row>
    <row r="175" spans="1:14" x14ac:dyDescent="0.25">
      <c r="A175" s="9" t="s">
        <v>492</v>
      </c>
      <c r="B175" s="9"/>
      <c r="C175" s="9"/>
      <c r="D175" s="9"/>
      <c r="E175" s="9"/>
      <c r="F175" s="9"/>
      <c r="G175" s="9"/>
      <c r="H175" s="9"/>
      <c r="I175" s="9"/>
      <c r="J175" s="9"/>
      <c r="K175" s="9"/>
      <c r="L175" s="9"/>
      <c r="M175" s="9"/>
      <c r="N175"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8247-1CE1-4EE1-9BA0-CF8A2156EB91}">
  <sheetPr codeName="Sheet16">
    <tabColor theme="6"/>
  </sheetPr>
  <dimension ref="A1:N523"/>
  <sheetViews>
    <sheetView workbookViewId="0"/>
  </sheetViews>
  <sheetFormatPr defaultRowHeight="15" x14ac:dyDescent="0.25"/>
  <cols>
    <col min="1" max="1" width="34.28515625" customWidth="1"/>
    <col min="2" max="4" width="0" hidden="1" customWidth="1"/>
    <col min="5" max="14" width="19" customWidth="1"/>
  </cols>
  <sheetData>
    <row r="1" spans="1:14" ht="20.25" x14ac:dyDescent="0.25">
      <c r="A1" s="1" t="s">
        <v>1053</v>
      </c>
      <c r="B1" s="1"/>
      <c r="C1" s="1"/>
      <c r="D1" s="1"/>
      <c r="E1" s="1"/>
      <c r="F1" s="1"/>
      <c r="G1" s="1"/>
      <c r="H1" s="1"/>
      <c r="I1" s="1"/>
      <c r="J1" s="1"/>
      <c r="K1" s="1"/>
      <c r="L1" s="1"/>
      <c r="M1" s="1"/>
      <c r="N1" s="1"/>
    </row>
    <row r="2" spans="1:14" x14ac:dyDescent="0.25">
      <c r="A2" s="2" t="s">
        <v>1052</v>
      </c>
      <c r="B2" s="2"/>
      <c r="C2" s="2"/>
      <c r="D2" s="2"/>
      <c r="E2" s="2"/>
      <c r="F2" s="2"/>
      <c r="G2" s="2"/>
      <c r="H2" s="2"/>
      <c r="I2" s="2"/>
      <c r="J2" s="2"/>
      <c r="K2" s="2"/>
      <c r="L2" s="2"/>
      <c r="M2" s="2"/>
    </row>
    <row r="3" spans="1:14" x14ac:dyDescent="0.25">
      <c r="A3" s="3" t="s">
        <v>2</v>
      </c>
      <c r="B3" s="3"/>
      <c r="C3" s="3"/>
      <c r="D3" s="3"/>
      <c r="E3" s="3" t="s">
        <v>1473</v>
      </c>
      <c r="F3" s="3" t="s">
        <v>1474</v>
      </c>
      <c r="G3" s="3" t="s">
        <v>1475</v>
      </c>
      <c r="H3" s="3" t="s">
        <v>1476</v>
      </c>
      <c r="I3" s="3" t="s">
        <v>1477</v>
      </c>
      <c r="J3" s="3" t="s">
        <v>1478</v>
      </c>
      <c r="K3" s="3" t="s">
        <v>1479</v>
      </c>
      <c r="L3" s="3" t="s">
        <v>1480</v>
      </c>
      <c r="M3" s="3" t="s">
        <v>1481</v>
      </c>
      <c r="N3" s="3" t="s">
        <v>1482</v>
      </c>
    </row>
    <row r="4" spans="1:14" x14ac:dyDescent="0.25">
      <c r="A4" s="4" t="s">
        <v>3</v>
      </c>
      <c r="B4" s="4" t="s">
        <v>4</v>
      </c>
      <c r="C4" s="4" t="s">
        <v>5</v>
      </c>
      <c r="D4" s="4" t="s">
        <v>6</v>
      </c>
      <c r="E4" s="5">
        <v>43464</v>
      </c>
      <c r="F4" s="5">
        <v>43828</v>
      </c>
      <c r="G4" s="5">
        <v>44199</v>
      </c>
      <c r="H4" s="5">
        <v>44563</v>
      </c>
      <c r="I4" s="5">
        <v>44927</v>
      </c>
      <c r="J4" s="5">
        <v>45291</v>
      </c>
      <c r="K4" s="5">
        <v>45655</v>
      </c>
      <c r="L4" s="5">
        <v>46019</v>
      </c>
      <c r="M4" s="5">
        <v>46390</v>
      </c>
      <c r="N4" s="5">
        <v>46754</v>
      </c>
    </row>
    <row r="5" spans="1:14" x14ac:dyDescent="0.25">
      <c r="A5" s="6" t="s">
        <v>7</v>
      </c>
      <c r="B5" s="7"/>
      <c r="C5" s="7"/>
      <c r="D5" s="7"/>
      <c r="E5" s="8"/>
      <c r="F5" s="8"/>
      <c r="G5" s="8"/>
      <c r="H5" s="8"/>
      <c r="I5" s="8"/>
      <c r="J5" s="8"/>
      <c r="K5" s="8"/>
      <c r="L5" s="8"/>
      <c r="M5" s="8"/>
      <c r="N5" s="8"/>
    </row>
    <row r="6" spans="1:14" x14ac:dyDescent="0.25">
      <c r="A6" s="6" t="s">
        <v>8</v>
      </c>
      <c r="B6" s="7" t="s">
        <v>9</v>
      </c>
      <c r="C6" s="7" t="s">
        <v>10</v>
      </c>
      <c r="D6" s="7"/>
      <c r="E6" s="8">
        <v>8.18</v>
      </c>
      <c r="F6" s="8">
        <v>8.68</v>
      </c>
      <c r="G6" s="8">
        <v>8.0299999999999994</v>
      </c>
      <c r="H6" s="8">
        <v>9.8000000000000007</v>
      </c>
      <c r="I6" s="8">
        <v>10.15</v>
      </c>
      <c r="J6" s="8">
        <v>9.92</v>
      </c>
      <c r="K6" s="8">
        <v>9.98</v>
      </c>
      <c r="L6" s="8">
        <v>10.79</v>
      </c>
      <c r="M6" s="8">
        <v>11.572692307692305</v>
      </c>
      <c r="N6" s="8">
        <v>12.55076923076923</v>
      </c>
    </row>
    <row r="7" spans="1:14" x14ac:dyDescent="0.25">
      <c r="A7" s="6" t="s">
        <v>11</v>
      </c>
      <c r="B7" s="7" t="s">
        <v>12</v>
      </c>
      <c r="C7" s="7" t="s">
        <v>13</v>
      </c>
      <c r="D7" s="7"/>
      <c r="E7" s="8">
        <v>81581</v>
      </c>
      <c r="F7" s="8">
        <v>82059</v>
      </c>
      <c r="G7" s="8">
        <v>82584</v>
      </c>
      <c r="H7" s="8">
        <v>93775</v>
      </c>
      <c r="I7" s="8">
        <v>94943</v>
      </c>
      <c r="J7" s="8">
        <v>85159</v>
      </c>
      <c r="K7" s="8">
        <v>88821</v>
      </c>
      <c r="L7" s="8">
        <v>94193</v>
      </c>
      <c r="M7" s="8">
        <v>100625.60000000001</v>
      </c>
      <c r="N7" s="8">
        <v>106508.4</v>
      </c>
    </row>
    <row r="8" spans="1:14" x14ac:dyDescent="0.25">
      <c r="A8" s="6" t="s">
        <v>17</v>
      </c>
      <c r="B8" s="7"/>
      <c r="C8" s="7"/>
      <c r="D8" s="7"/>
      <c r="E8" s="8"/>
      <c r="F8" s="8"/>
      <c r="G8" s="8"/>
      <c r="H8" s="8"/>
      <c r="I8" s="8"/>
      <c r="J8" s="8"/>
      <c r="K8" s="8"/>
      <c r="L8" s="8"/>
      <c r="M8" s="8"/>
      <c r="N8" s="8"/>
    </row>
    <row r="9" spans="1:14" x14ac:dyDescent="0.25">
      <c r="A9" s="6" t="s">
        <v>1051</v>
      </c>
      <c r="B9" s="7"/>
      <c r="C9" s="7"/>
      <c r="D9" s="7"/>
      <c r="E9" s="8"/>
      <c r="F9" s="8"/>
      <c r="G9" s="8"/>
      <c r="H9" s="8"/>
      <c r="I9" s="8"/>
      <c r="J9" s="8"/>
      <c r="K9" s="8"/>
      <c r="L9" s="8"/>
      <c r="M9" s="8"/>
      <c r="N9" s="8"/>
    </row>
    <row r="10" spans="1:14" x14ac:dyDescent="0.25">
      <c r="A10" s="6" t="s">
        <v>1032</v>
      </c>
      <c r="B10" s="7" t="s">
        <v>20</v>
      </c>
      <c r="C10" s="7" t="s">
        <v>21</v>
      </c>
      <c r="D10" s="7" t="s">
        <v>1031</v>
      </c>
      <c r="E10" s="8">
        <v>40734</v>
      </c>
      <c r="F10" s="8">
        <v>42201</v>
      </c>
      <c r="G10" s="8">
        <v>45980</v>
      </c>
      <c r="H10" s="8">
        <v>51680</v>
      </c>
      <c r="I10" s="8">
        <v>52563</v>
      </c>
      <c r="J10" s="8">
        <v>54759</v>
      </c>
      <c r="K10" s="8">
        <v>56964</v>
      </c>
      <c r="L10" s="8">
        <v>60401</v>
      </c>
      <c r="M10" s="8">
        <v>64940.384424828837</v>
      </c>
      <c r="N10" s="8">
        <v>68893.776391459192</v>
      </c>
    </row>
    <row r="11" spans="1:14" x14ac:dyDescent="0.25">
      <c r="A11" s="6" t="s">
        <v>733</v>
      </c>
      <c r="B11" s="7" t="s">
        <v>20</v>
      </c>
      <c r="C11" s="7" t="s">
        <v>21</v>
      </c>
      <c r="D11" s="7" t="s">
        <v>957</v>
      </c>
      <c r="E11" s="8">
        <v>2025</v>
      </c>
      <c r="F11" s="8">
        <v>2998</v>
      </c>
      <c r="G11" s="8">
        <v>4190</v>
      </c>
      <c r="H11" s="8">
        <v>6023</v>
      </c>
      <c r="I11" s="8">
        <v>7977</v>
      </c>
      <c r="J11" s="8">
        <v>9744</v>
      </c>
      <c r="K11" s="8">
        <v>11670</v>
      </c>
      <c r="L11" s="8">
        <v>14351</v>
      </c>
      <c r="M11" s="8">
        <v>16858.91855060868</v>
      </c>
      <c r="N11" s="8">
        <v>18794.841945169683</v>
      </c>
    </row>
    <row r="12" spans="1:14" x14ac:dyDescent="0.25">
      <c r="A12" s="6" t="s">
        <v>761</v>
      </c>
      <c r="B12" s="7" t="s">
        <v>20</v>
      </c>
      <c r="C12" s="7" t="s">
        <v>21</v>
      </c>
      <c r="D12" s="7" t="s">
        <v>1010</v>
      </c>
      <c r="E12" s="8">
        <v>544</v>
      </c>
      <c r="F12" s="8">
        <v>1012</v>
      </c>
      <c r="G12" s="8">
        <v>1347</v>
      </c>
      <c r="H12" s="8">
        <v>2127</v>
      </c>
      <c r="I12" s="8">
        <v>2668</v>
      </c>
      <c r="J12" s="8">
        <v>3147</v>
      </c>
      <c r="K12" s="8">
        <v>3670</v>
      </c>
      <c r="L12" s="8">
        <v>5155</v>
      </c>
      <c r="M12" s="8">
        <v>7046.4611633029463</v>
      </c>
      <c r="N12" s="8">
        <v>8549.9211378453874</v>
      </c>
    </row>
    <row r="13" spans="1:14" x14ac:dyDescent="0.25">
      <c r="A13" s="6" t="s">
        <v>1050</v>
      </c>
      <c r="B13" s="7" t="s">
        <v>20</v>
      </c>
      <c r="C13" s="7" t="s">
        <v>21</v>
      </c>
      <c r="D13" s="7" t="s">
        <v>954</v>
      </c>
      <c r="E13" s="8" t="s">
        <v>1483</v>
      </c>
      <c r="F13" s="8">
        <v>332</v>
      </c>
      <c r="G13" s="8">
        <v>760</v>
      </c>
      <c r="H13" s="8">
        <v>1291</v>
      </c>
      <c r="I13" s="8">
        <v>1881</v>
      </c>
      <c r="J13" s="8">
        <v>2387</v>
      </c>
      <c r="K13" s="8">
        <v>2999</v>
      </c>
      <c r="L13" s="8">
        <v>3574</v>
      </c>
      <c r="M13" s="8">
        <v>4132.7084659386064</v>
      </c>
      <c r="N13" s="8">
        <v>4551.98865218627</v>
      </c>
    </row>
    <row r="14" spans="1:14" x14ac:dyDescent="0.25">
      <c r="A14" s="6" t="s">
        <v>763</v>
      </c>
      <c r="B14" s="7" t="s">
        <v>20</v>
      </c>
      <c r="C14" s="7" t="s">
        <v>21</v>
      </c>
      <c r="D14" s="7" t="s">
        <v>1014</v>
      </c>
      <c r="E14" s="8">
        <v>5156</v>
      </c>
      <c r="F14" s="8">
        <v>6361</v>
      </c>
      <c r="G14" s="8">
        <v>7707</v>
      </c>
      <c r="H14" s="8">
        <v>9134</v>
      </c>
      <c r="I14" s="8">
        <v>9723</v>
      </c>
      <c r="J14" s="8">
        <v>10858</v>
      </c>
      <c r="K14" s="8">
        <v>10361</v>
      </c>
      <c r="L14" s="8">
        <v>6078</v>
      </c>
      <c r="M14" s="8">
        <v>3725.311481341671</v>
      </c>
      <c r="N14" s="8">
        <v>2559.5210156419948</v>
      </c>
    </row>
    <row r="15" spans="1:14" x14ac:dyDescent="0.25">
      <c r="A15" s="6" t="s">
        <v>1049</v>
      </c>
      <c r="B15" s="7" t="s">
        <v>20</v>
      </c>
      <c r="C15" s="7" t="s">
        <v>21</v>
      </c>
      <c r="D15" s="7" t="s">
        <v>975</v>
      </c>
      <c r="E15" s="8">
        <v>2928</v>
      </c>
      <c r="F15" s="8">
        <v>3330</v>
      </c>
      <c r="G15" s="8">
        <v>3653</v>
      </c>
      <c r="H15" s="8">
        <v>4022</v>
      </c>
      <c r="I15" s="8">
        <v>4140</v>
      </c>
      <c r="J15" s="8">
        <v>4115</v>
      </c>
      <c r="K15" s="8">
        <v>4222</v>
      </c>
      <c r="L15" s="8">
        <v>3810</v>
      </c>
      <c r="M15" s="8">
        <v>3683.014091073293</v>
      </c>
      <c r="N15" s="8">
        <v>3637.5111036917201</v>
      </c>
    </row>
    <row r="16" spans="1:14" x14ac:dyDescent="0.25">
      <c r="A16" s="6" t="s">
        <v>1048</v>
      </c>
      <c r="B16" s="7" t="s">
        <v>20</v>
      </c>
      <c r="C16" s="7" t="s">
        <v>21</v>
      </c>
      <c r="D16" s="7" t="s">
        <v>961</v>
      </c>
      <c r="E16" s="8" t="s">
        <v>1483</v>
      </c>
      <c r="F16" s="8" t="s">
        <v>1483</v>
      </c>
      <c r="G16" s="8" t="s">
        <v>1483</v>
      </c>
      <c r="H16" s="8" t="s">
        <v>1483</v>
      </c>
      <c r="I16" s="8">
        <v>133</v>
      </c>
      <c r="J16" s="8">
        <v>500</v>
      </c>
      <c r="K16" s="8">
        <v>963</v>
      </c>
      <c r="L16" s="8">
        <v>1887</v>
      </c>
      <c r="M16" s="8">
        <v>2836.8950084555458</v>
      </c>
      <c r="N16" s="8">
        <v>3860.1775141827857</v>
      </c>
    </row>
    <row r="17" spans="1:14" x14ac:dyDescent="0.25">
      <c r="A17" s="6" t="s">
        <v>1047</v>
      </c>
      <c r="B17" s="7" t="s">
        <v>20</v>
      </c>
      <c r="C17" s="7" t="s">
        <v>21</v>
      </c>
      <c r="D17" s="7" t="s">
        <v>971</v>
      </c>
      <c r="E17" s="8" t="s">
        <v>1483</v>
      </c>
      <c r="F17" s="8" t="s">
        <v>1483</v>
      </c>
      <c r="G17" s="8" t="s">
        <v>1483</v>
      </c>
      <c r="H17" s="8" t="s">
        <v>1483</v>
      </c>
      <c r="I17" s="8">
        <v>374</v>
      </c>
      <c r="J17" s="8">
        <v>689</v>
      </c>
      <c r="K17" s="8">
        <v>1077</v>
      </c>
      <c r="L17" s="8">
        <v>1696</v>
      </c>
      <c r="M17" s="8">
        <v>2327.825205337972</v>
      </c>
      <c r="N17" s="8">
        <v>2843.9743187459358</v>
      </c>
    </row>
    <row r="18" spans="1:14" x14ac:dyDescent="0.25">
      <c r="A18" s="6" t="s">
        <v>1046</v>
      </c>
      <c r="B18" s="7" t="s">
        <v>20</v>
      </c>
      <c r="C18" s="7" t="s">
        <v>21</v>
      </c>
      <c r="D18" s="7" t="s">
        <v>946</v>
      </c>
      <c r="E18" s="8" t="s">
        <v>1483</v>
      </c>
      <c r="F18" s="8" t="s">
        <v>1483</v>
      </c>
      <c r="G18" s="8" t="s">
        <v>1483</v>
      </c>
      <c r="H18" s="8" t="s">
        <v>1483</v>
      </c>
      <c r="I18" s="8" t="s">
        <v>1483</v>
      </c>
      <c r="J18" s="8" t="s">
        <v>1483</v>
      </c>
      <c r="K18" s="8">
        <v>327</v>
      </c>
      <c r="L18" s="8">
        <v>734</v>
      </c>
      <c r="M18" s="8">
        <v>1332.0872888867959</v>
      </c>
      <c r="N18" s="8">
        <v>2103.4452314798277</v>
      </c>
    </row>
    <row r="19" spans="1:14" x14ac:dyDescent="0.25">
      <c r="A19" s="6" t="s">
        <v>1045</v>
      </c>
      <c r="B19" s="7" t="s">
        <v>20</v>
      </c>
      <c r="C19" s="7" t="s">
        <v>21</v>
      </c>
      <c r="D19" s="7" t="s">
        <v>1018</v>
      </c>
      <c r="E19" s="8">
        <v>2084</v>
      </c>
      <c r="F19" s="8">
        <v>2188</v>
      </c>
      <c r="G19" s="8">
        <v>2243</v>
      </c>
      <c r="H19" s="8">
        <v>2276</v>
      </c>
      <c r="I19" s="8">
        <v>2184</v>
      </c>
      <c r="J19" s="8">
        <v>2197</v>
      </c>
      <c r="K19" s="8">
        <v>2190</v>
      </c>
      <c r="L19" s="8">
        <v>2668</v>
      </c>
      <c r="M19" s="8">
        <v>2354.6298336336904</v>
      </c>
      <c r="N19" s="8">
        <v>1921.6869026775819</v>
      </c>
    </row>
    <row r="20" spans="1:14" x14ac:dyDescent="0.25">
      <c r="A20" s="6" t="s">
        <v>1044</v>
      </c>
      <c r="B20" s="7" t="s">
        <v>20</v>
      </c>
      <c r="C20" s="7" t="s">
        <v>21</v>
      </c>
      <c r="D20" s="7" t="s">
        <v>950</v>
      </c>
      <c r="E20" s="8">
        <v>2615</v>
      </c>
      <c r="F20" s="8">
        <v>3411</v>
      </c>
      <c r="G20" s="8">
        <v>4128</v>
      </c>
      <c r="H20" s="8">
        <v>4369</v>
      </c>
      <c r="I20" s="8">
        <v>3784</v>
      </c>
      <c r="J20" s="8">
        <v>3264</v>
      </c>
      <c r="K20" s="8">
        <v>3038</v>
      </c>
      <c r="L20" s="8">
        <v>2823</v>
      </c>
      <c r="M20" s="8">
        <v>2516.0226770798376</v>
      </c>
      <c r="N20" s="8">
        <v>2212.7408003026894</v>
      </c>
    </row>
    <row r="21" spans="1:14" x14ac:dyDescent="0.25">
      <c r="A21" s="6" t="s">
        <v>1043</v>
      </c>
      <c r="B21" s="7" t="s">
        <v>20</v>
      </c>
      <c r="C21" s="7" t="s">
        <v>21</v>
      </c>
      <c r="D21" s="7" t="s">
        <v>910</v>
      </c>
      <c r="E21" s="8">
        <v>2477</v>
      </c>
      <c r="F21" s="8">
        <v>2313</v>
      </c>
      <c r="G21" s="8">
        <v>2345</v>
      </c>
      <c r="H21" s="8">
        <v>2438</v>
      </c>
      <c r="I21" s="8">
        <v>2473</v>
      </c>
      <c r="J21" s="8">
        <v>2365</v>
      </c>
      <c r="K21" s="8">
        <v>2373</v>
      </c>
      <c r="L21" s="8">
        <v>2633</v>
      </c>
      <c r="M21" s="8">
        <v>2458.1551737420291</v>
      </c>
      <c r="N21" s="8">
        <v>1725.9712320664928</v>
      </c>
    </row>
    <row r="22" spans="1:14" x14ac:dyDescent="0.25">
      <c r="A22" s="6" t="s">
        <v>1042</v>
      </c>
      <c r="B22" s="7" t="s">
        <v>20</v>
      </c>
      <c r="C22" s="7" t="s">
        <v>21</v>
      </c>
      <c r="D22" s="7" t="s">
        <v>1024</v>
      </c>
      <c r="E22" s="8">
        <v>5326</v>
      </c>
      <c r="F22" s="8">
        <v>4384</v>
      </c>
      <c r="G22" s="8">
        <v>3747</v>
      </c>
      <c r="H22" s="8">
        <v>3190</v>
      </c>
      <c r="I22" s="8">
        <v>2343</v>
      </c>
      <c r="J22" s="8">
        <v>1839</v>
      </c>
      <c r="K22" s="8">
        <v>1605</v>
      </c>
      <c r="L22" s="8">
        <v>1768</v>
      </c>
      <c r="M22" s="8">
        <v>1564.6362398545803</v>
      </c>
      <c r="N22" s="8">
        <v>1376.6295205021368</v>
      </c>
    </row>
    <row r="23" spans="1:14" x14ac:dyDescent="0.25">
      <c r="A23" s="6" t="s">
        <v>1041</v>
      </c>
      <c r="B23" s="7" t="s">
        <v>20</v>
      </c>
      <c r="C23" s="7" t="s">
        <v>21</v>
      </c>
      <c r="D23" s="7" t="s">
        <v>924</v>
      </c>
      <c r="E23" s="8">
        <v>1215</v>
      </c>
      <c r="F23" s="8">
        <v>1327</v>
      </c>
      <c r="G23" s="8">
        <v>1639</v>
      </c>
      <c r="H23" s="8">
        <v>1819</v>
      </c>
      <c r="I23" s="8">
        <v>1783</v>
      </c>
      <c r="J23" s="8">
        <v>1973</v>
      </c>
      <c r="K23" s="8">
        <v>2184</v>
      </c>
      <c r="L23" s="8">
        <v>2325</v>
      </c>
      <c r="M23" s="8">
        <v>1924.9932439285246</v>
      </c>
      <c r="N23" s="8">
        <v>1309.1741508019802</v>
      </c>
    </row>
    <row r="24" spans="1:14" x14ac:dyDescent="0.25">
      <c r="A24" s="6" t="s">
        <v>1040</v>
      </c>
      <c r="B24" s="7" t="s">
        <v>20</v>
      </c>
      <c r="C24" s="7" t="s">
        <v>21</v>
      </c>
      <c r="D24" s="7" t="s">
        <v>920</v>
      </c>
      <c r="E24" s="8">
        <v>663</v>
      </c>
      <c r="F24" s="8">
        <v>819</v>
      </c>
      <c r="G24" s="8">
        <v>1093</v>
      </c>
      <c r="H24" s="8">
        <v>1237</v>
      </c>
      <c r="I24" s="8">
        <v>1322</v>
      </c>
      <c r="J24" s="8">
        <v>1582</v>
      </c>
      <c r="K24" s="8">
        <v>1817</v>
      </c>
      <c r="L24" s="8">
        <v>1902</v>
      </c>
      <c r="M24" s="8">
        <v>1859.6777139357507</v>
      </c>
      <c r="N24" s="8">
        <v>1501.6413868646832</v>
      </c>
    </row>
    <row r="25" spans="1:14" x14ac:dyDescent="0.25">
      <c r="A25" s="6" t="s">
        <v>1039</v>
      </c>
      <c r="B25" s="7" t="s">
        <v>20</v>
      </c>
      <c r="C25" s="7" t="s">
        <v>21</v>
      </c>
      <c r="D25" s="7" t="s">
        <v>983</v>
      </c>
      <c r="E25" s="8" t="s">
        <v>1483</v>
      </c>
      <c r="F25" s="8" t="s">
        <v>1483</v>
      </c>
      <c r="G25" s="8" t="s">
        <v>1483</v>
      </c>
      <c r="H25" s="8" t="s">
        <v>1483</v>
      </c>
      <c r="I25" s="8" t="s">
        <v>1483</v>
      </c>
      <c r="J25" s="8" t="s">
        <v>1483</v>
      </c>
      <c r="K25" s="8" t="s">
        <v>1483</v>
      </c>
      <c r="L25" s="8">
        <v>700</v>
      </c>
      <c r="M25" s="8">
        <v>1265.4184409714285</v>
      </c>
      <c r="N25" s="8">
        <v>1824.54767470042</v>
      </c>
    </row>
    <row r="26" spans="1:14" x14ac:dyDescent="0.25">
      <c r="A26" s="6" t="s">
        <v>1038</v>
      </c>
      <c r="B26" s="7" t="s">
        <v>20</v>
      </c>
      <c r="C26" s="7" t="s">
        <v>21</v>
      </c>
      <c r="D26" s="7" t="s">
        <v>938</v>
      </c>
      <c r="E26" s="8" t="s">
        <v>1483</v>
      </c>
      <c r="F26" s="8" t="s">
        <v>1483</v>
      </c>
      <c r="G26" s="8" t="s">
        <v>1483</v>
      </c>
      <c r="H26" s="8" t="s">
        <v>1483</v>
      </c>
      <c r="I26" s="8" t="s">
        <v>1483</v>
      </c>
      <c r="J26" s="8" t="s">
        <v>1483</v>
      </c>
      <c r="K26" s="8">
        <v>549</v>
      </c>
      <c r="L26" s="8">
        <v>670</v>
      </c>
      <c r="M26" s="8">
        <v>996.82540656876654</v>
      </c>
      <c r="N26" s="8">
        <v>1489.7051750456865</v>
      </c>
    </row>
    <row r="27" spans="1:14" x14ac:dyDescent="0.25">
      <c r="A27" s="6" t="s">
        <v>1037</v>
      </c>
      <c r="B27" s="7" t="s">
        <v>20</v>
      </c>
      <c r="C27" s="7" t="s">
        <v>21</v>
      </c>
      <c r="D27" s="7" t="s">
        <v>942</v>
      </c>
      <c r="E27" s="8" t="s">
        <v>1483</v>
      </c>
      <c r="F27" s="8" t="s">
        <v>1483</v>
      </c>
      <c r="G27" s="8" t="s">
        <v>1483</v>
      </c>
      <c r="H27" s="8" t="s">
        <v>1483</v>
      </c>
      <c r="I27" s="8" t="s">
        <v>1483</v>
      </c>
      <c r="J27" s="8" t="s">
        <v>1483</v>
      </c>
      <c r="K27" s="8">
        <v>287</v>
      </c>
      <c r="L27" s="8">
        <v>463</v>
      </c>
      <c r="M27" s="8">
        <v>745.37031707653603</v>
      </c>
      <c r="N27" s="8">
        <v>1071.6130167333529</v>
      </c>
    </row>
    <row r="28" spans="1:14" x14ac:dyDescent="0.25">
      <c r="A28" s="6" t="s">
        <v>1036</v>
      </c>
      <c r="B28" s="7" t="s">
        <v>20</v>
      </c>
      <c r="C28" s="7" t="s">
        <v>21</v>
      </c>
      <c r="D28" s="7" t="s">
        <v>934</v>
      </c>
      <c r="E28" s="8">
        <v>3498</v>
      </c>
      <c r="F28" s="8">
        <v>2795</v>
      </c>
      <c r="G28" s="8">
        <v>2470</v>
      </c>
      <c r="H28" s="8">
        <v>2297</v>
      </c>
      <c r="I28" s="8">
        <v>1770</v>
      </c>
      <c r="J28" s="8">
        <v>887</v>
      </c>
      <c r="K28" s="8">
        <v>631</v>
      </c>
      <c r="L28" s="8">
        <v>502</v>
      </c>
      <c r="M28" s="8">
        <v>399.88247028449916</v>
      </c>
      <c r="N28" s="8">
        <v>310.34642941153328</v>
      </c>
    </row>
    <row r="29" spans="1:14" x14ac:dyDescent="0.25">
      <c r="A29" s="6" t="s">
        <v>1030</v>
      </c>
      <c r="B29" s="7" t="s">
        <v>20</v>
      </c>
      <c r="C29" s="7" t="s">
        <v>21</v>
      </c>
      <c r="D29" s="7" t="s">
        <v>1029</v>
      </c>
      <c r="E29" s="8">
        <v>26994</v>
      </c>
      <c r="F29" s="8">
        <v>25961</v>
      </c>
      <c r="G29" s="8">
        <v>22959</v>
      </c>
      <c r="H29" s="8">
        <v>27060</v>
      </c>
      <c r="I29" s="8">
        <v>27426</v>
      </c>
      <c r="J29" s="8">
        <v>30400</v>
      </c>
      <c r="K29" s="8">
        <v>31857</v>
      </c>
      <c r="L29" s="8">
        <v>33792</v>
      </c>
      <c r="M29" s="8">
        <v>35855.630434228173</v>
      </c>
      <c r="N29" s="8">
        <v>37811.185941759904</v>
      </c>
    </row>
    <row r="30" spans="1:14" x14ac:dyDescent="0.25">
      <c r="A30" s="6" t="s">
        <v>46</v>
      </c>
      <c r="B30" s="7" t="s">
        <v>47</v>
      </c>
      <c r="C30" s="7" t="s">
        <v>48</v>
      </c>
      <c r="D30" s="7"/>
      <c r="E30" s="8">
        <v>72.261923999999993</v>
      </c>
      <c r="F30" s="8">
        <v>71.937264999999996</v>
      </c>
      <c r="G30" s="8">
        <v>71.220817999999994</v>
      </c>
      <c r="H30" s="8">
        <v>73.421487999999997</v>
      </c>
      <c r="I30" s="8">
        <v>71.549244999999999</v>
      </c>
      <c r="J30" s="8">
        <v>74.116652000000002</v>
      </c>
      <c r="K30" s="8">
        <v>74.704179999999994</v>
      </c>
      <c r="L30" s="8">
        <v>72.973575999999994</v>
      </c>
      <c r="M30" s="8">
        <v>73.054907692285369</v>
      </c>
      <c r="N30" s="8">
        <v>73.13775039281461</v>
      </c>
    </row>
    <row r="31" spans="1:14" x14ac:dyDescent="0.25">
      <c r="A31" s="6" t="s">
        <v>1035</v>
      </c>
      <c r="B31" s="7" t="s">
        <v>159</v>
      </c>
      <c r="C31" s="7" t="s">
        <v>160</v>
      </c>
      <c r="D31" s="7"/>
      <c r="E31" s="8">
        <v>10775</v>
      </c>
      <c r="F31" s="8">
        <v>11308</v>
      </c>
      <c r="G31" s="8">
        <v>12091</v>
      </c>
      <c r="H31" s="8">
        <v>14589</v>
      </c>
      <c r="I31" s="8">
        <v>13672</v>
      </c>
      <c r="J31" s="8">
        <v>14805</v>
      </c>
      <c r="K31" s="8">
        <v>17034</v>
      </c>
      <c r="L31" s="8">
        <v>14702</v>
      </c>
      <c r="M31" s="8">
        <v>15472.028760094508</v>
      </c>
      <c r="N31" s="8">
        <v>16231.209260874361</v>
      </c>
    </row>
    <row r="32" spans="1:14" x14ac:dyDescent="0.25">
      <c r="A32" s="6" t="s">
        <v>1034</v>
      </c>
      <c r="B32" s="7" t="s">
        <v>153</v>
      </c>
      <c r="C32" s="7" t="s">
        <v>154</v>
      </c>
      <c r="D32" s="7"/>
      <c r="E32" s="8">
        <v>22540</v>
      </c>
      <c r="F32" s="8">
        <v>22178</v>
      </c>
      <c r="G32" s="8">
        <v>22067</v>
      </c>
      <c r="H32" s="8">
        <v>24635</v>
      </c>
      <c r="I32" s="8">
        <v>20218</v>
      </c>
      <c r="J32" s="8">
        <v>21483</v>
      </c>
      <c r="K32" s="8">
        <v>22853</v>
      </c>
      <c r="L32" s="8">
        <v>23676</v>
      </c>
      <c r="M32" s="8">
        <v>24789.757964233009</v>
      </c>
      <c r="N32" s="8">
        <v>25897.67205958068</v>
      </c>
    </row>
    <row r="33" spans="1:14" x14ac:dyDescent="0.25">
      <c r="A33" s="6" t="s">
        <v>1033</v>
      </c>
      <c r="B33" s="7" t="s">
        <v>183</v>
      </c>
      <c r="C33" s="7" t="s">
        <v>184</v>
      </c>
      <c r="D33" s="7"/>
      <c r="E33" s="8">
        <v>26698</v>
      </c>
      <c r="F33" s="8">
        <v>28225</v>
      </c>
      <c r="G33" s="8">
        <v>25428</v>
      </c>
      <c r="H33" s="8">
        <v>30464</v>
      </c>
      <c r="I33" s="8">
        <v>31880</v>
      </c>
      <c r="J33" s="8">
        <v>29811</v>
      </c>
      <c r="K33" s="8">
        <v>28979</v>
      </c>
      <c r="L33" s="8">
        <v>31681</v>
      </c>
      <c r="M33" s="8">
        <v>34237.608695652169</v>
      </c>
      <c r="N33" s="8">
        <v>37149.304347826088</v>
      </c>
    </row>
    <row r="34" spans="1:14" x14ac:dyDescent="0.25">
      <c r="A34" s="6" t="s">
        <v>17</v>
      </c>
      <c r="B34" s="7"/>
      <c r="C34" s="7"/>
      <c r="D34" s="7"/>
      <c r="E34" s="8"/>
      <c r="F34" s="8"/>
      <c r="G34" s="8"/>
      <c r="H34" s="8"/>
      <c r="I34" s="8"/>
      <c r="J34" s="8"/>
      <c r="K34" s="8"/>
      <c r="L34" s="8"/>
      <c r="M34" s="8"/>
      <c r="N34" s="8"/>
    </row>
    <row r="35" spans="1:14" x14ac:dyDescent="0.25">
      <c r="A35" s="6" t="s">
        <v>73</v>
      </c>
      <c r="B35" s="7"/>
      <c r="C35" s="7"/>
      <c r="D35" s="7"/>
      <c r="E35" s="8"/>
      <c r="F35" s="8"/>
      <c r="G35" s="8"/>
      <c r="H35" s="8"/>
      <c r="I35" s="8"/>
      <c r="J35" s="8"/>
      <c r="K35" s="8"/>
      <c r="L35" s="8"/>
      <c r="M35" s="8"/>
      <c r="N35" s="8"/>
    </row>
    <row r="36" spans="1:14" x14ac:dyDescent="0.25">
      <c r="A36" s="6" t="s">
        <v>137</v>
      </c>
      <c r="B36" s="7" t="s">
        <v>12</v>
      </c>
      <c r="C36" s="7" t="s">
        <v>13</v>
      </c>
      <c r="D36" s="7"/>
      <c r="E36" s="8">
        <v>81581</v>
      </c>
      <c r="F36" s="8">
        <v>82059</v>
      </c>
      <c r="G36" s="8">
        <v>82584</v>
      </c>
      <c r="H36" s="8">
        <v>93775</v>
      </c>
      <c r="I36" s="8">
        <v>94943</v>
      </c>
      <c r="J36" s="8">
        <v>85159</v>
      </c>
      <c r="K36" s="8">
        <v>88821</v>
      </c>
      <c r="L36" s="8">
        <v>94193</v>
      </c>
      <c r="M36" s="8">
        <v>100625.60000000001</v>
      </c>
      <c r="N36" s="8">
        <v>106508.4</v>
      </c>
    </row>
    <row r="37" spans="1:14" x14ac:dyDescent="0.25">
      <c r="A37" s="6" t="s">
        <v>1032</v>
      </c>
      <c r="B37" s="7" t="s">
        <v>20</v>
      </c>
      <c r="C37" s="7" t="s">
        <v>21</v>
      </c>
      <c r="D37" s="7" t="s">
        <v>1031</v>
      </c>
      <c r="E37" s="8">
        <v>40734</v>
      </c>
      <c r="F37" s="8">
        <v>42201</v>
      </c>
      <c r="G37" s="8">
        <v>45980</v>
      </c>
      <c r="H37" s="8">
        <v>51680</v>
      </c>
      <c r="I37" s="8">
        <v>52563</v>
      </c>
      <c r="J37" s="8">
        <v>54759</v>
      </c>
      <c r="K37" s="8">
        <v>56964</v>
      </c>
      <c r="L37" s="8">
        <v>60401</v>
      </c>
      <c r="M37" s="8">
        <v>64940.384424828837</v>
      </c>
      <c r="N37" s="8">
        <v>68893.776391459192</v>
      </c>
    </row>
    <row r="38" spans="1:14" x14ac:dyDescent="0.25">
      <c r="A38" s="6" t="s">
        <v>23</v>
      </c>
      <c r="B38" s="7" t="s">
        <v>15</v>
      </c>
      <c r="C38" s="7" t="s">
        <v>16</v>
      </c>
      <c r="D38" s="7" t="s">
        <v>1031</v>
      </c>
      <c r="E38" s="8" t="s">
        <v>1483</v>
      </c>
      <c r="F38" s="8">
        <v>5.8</v>
      </c>
      <c r="G38" s="8">
        <v>8.4</v>
      </c>
      <c r="H38" s="8">
        <v>13.6</v>
      </c>
      <c r="I38" s="8">
        <v>6.8</v>
      </c>
      <c r="J38" s="8">
        <v>4.9000000000000004</v>
      </c>
      <c r="K38" s="8">
        <v>7.6</v>
      </c>
      <c r="L38" s="8">
        <v>5.3</v>
      </c>
      <c r="M38" s="8">
        <v>7.0256733560746243</v>
      </c>
      <c r="N38" s="8">
        <v>4.983787715389953</v>
      </c>
    </row>
    <row r="39" spans="1:14" x14ac:dyDescent="0.25">
      <c r="A39" s="6" t="s">
        <v>74</v>
      </c>
      <c r="B39" s="7" t="s">
        <v>75</v>
      </c>
      <c r="C39" s="7" t="s">
        <v>76</v>
      </c>
      <c r="D39" s="7" t="s">
        <v>1031</v>
      </c>
      <c r="E39" s="8">
        <v>11.8</v>
      </c>
      <c r="F39" s="8">
        <v>5.8</v>
      </c>
      <c r="G39" s="8">
        <v>8.1999999999999993</v>
      </c>
      <c r="H39" s="8">
        <v>13.1</v>
      </c>
      <c r="I39" s="8">
        <v>6.7</v>
      </c>
      <c r="J39" s="8">
        <v>4.8</v>
      </c>
      <c r="K39" s="8">
        <v>5.7</v>
      </c>
      <c r="L39" s="8">
        <v>5.3</v>
      </c>
      <c r="M39" s="8">
        <v>7.1688779131630183</v>
      </c>
      <c r="N39" s="8">
        <v>4.9870949726508176</v>
      </c>
    </row>
    <row r="40" spans="1:14" x14ac:dyDescent="0.25">
      <c r="A40" s="6" t="s">
        <v>818</v>
      </c>
      <c r="B40" s="7" t="s">
        <v>139</v>
      </c>
      <c r="C40" s="7" t="s">
        <v>140</v>
      </c>
      <c r="D40" s="7" t="s">
        <v>1031</v>
      </c>
      <c r="E40" s="8">
        <v>0.6</v>
      </c>
      <c r="F40" s="8">
        <v>5.8</v>
      </c>
      <c r="G40" s="8">
        <v>-0.2</v>
      </c>
      <c r="H40" s="8">
        <v>1.2</v>
      </c>
      <c r="I40" s="8">
        <v>-5</v>
      </c>
      <c r="J40" s="8">
        <v>-0.6</v>
      </c>
      <c r="K40" s="8">
        <v>-1.7</v>
      </c>
      <c r="L40" s="8">
        <v>0.7</v>
      </c>
      <c r="M40" s="8">
        <v>1.3318964676693719</v>
      </c>
      <c r="N40" s="8">
        <v>-8.898144544523405E-2</v>
      </c>
    </row>
    <row r="41" spans="1:14" x14ac:dyDescent="0.25">
      <c r="A41" s="6" t="s">
        <v>1030</v>
      </c>
      <c r="B41" s="7" t="s">
        <v>20</v>
      </c>
      <c r="C41" s="7" t="s">
        <v>21</v>
      </c>
      <c r="D41" s="7" t="s">
        <v>1029</v>
      </c>
      <c r="E41" s="8">
        <v>26994</v>
      </c>
      <c r="F41" s="8">
        <v>25961</v>
      </c>
      <c r="G41" s="8">
        <v>22959</v>
      </c>
      <c r="H41" s="8">
        <v>27060</v>
      </c>
      <c r="I41" s="8">
        <v>27426</v>
      </c>
      <c r="J41" s="8">
        <v>30400</v>
      </c>
      <c r="K41" s="8">
        <v>31857</v>
      </c>
      <c r="L41" s="8">
        <v>33792</v>
      </c>
      <c r="M41" s="8">
        <v>35855.630434228173</v>
      </c>
      <c r="N41" s="8">
        <v>37811.185941759904</v>
      </c>
    </row>
    <row r="42" spans="1:14" x14ac:dyDescent="0.25">
      <c r="A42" s="6" t="s">
        <v>23</v>
      </c>
      <c r="B42" s="7" t="s">
        <v>15</v>
      </c>
      <c r="C42" s="7" t="s">
        <v>16</v>
      </c>
      <c r="D42" s="7" t="s">
        <v>1029</v>
      </c>
      <c r="E42" s="8" t="s">
        <v>1483</v>
      </c>
      <c r="F42" s="8">
        <v>3.9</v>
      </c>
      <c r="G42" s="8">
        <v>-10.5</v>
      </c>
      <c r="H42" s="8">
        <v>16.8</v>
      </c>
      <c r="I42" s="8">
        <v>6.1</v>
      </c>
      <c r="J42" s="8">
        <v>7.8</v>
      </c>
      <c r="K42" s="8">
        <v>4.7</v>
      </c>
      <c r="L42" s="8">
        <v>5.4</v>
      </c>
      <c r="M42" s="8">
        <v>5.3871410976806358</v>
      </c>
      <c r="N42" s="8">
        <v>4.6574443329870858</v>
      </c>
    </row>
    <row r="43" spans="1:14" x14ac:dyDescent="0.25">
      <c r="A43" s="6" t="s">
        <v>74</v>
      </c>
      <c r="B43" s="7" t="s">
        <v>75</v>
      </c>
      <c r="C43" s="7" t="s">
        <v>76</v>
      </c>
      <c r="D43" s="7" t="s">
        <v>1029</v>
      </c>
      <c r="E43" s="8">
        <v>1.1000000000000001</v>
      </c>
      <c r="F43" s="8">
        <v>-1.7</v>
      </c>
      <c r="G43" s="8">
        <v>-11.4</v>
      </c>
      <c r="H43" s="8">
        <v>16.2</v>
      </c>
      <c r="I43" s="8">
        <v>6.2</v>
      </c>
      <c r="J43" s="8">
        <v>12.4</v>
      </c>
      <c r="K43" s="8">
        <v>6.2</v>
      </c>
      <c r="L43" s="8">
        <v>5.4</v>
      </c>
      <c r="M43" s="8">
        <v>5.6051647146181214</v>
      </c>
      <c r="N43" s="8">
        <v>5.1081985468326838</v>
      </c>
    </row>
    <row r="44" spans="1:14" x14ac:dyDescent="0.25">
      <c r="A44" s="6" t="s">
        <v>818</v>
      </c>
      <c r="B44" s="7" t="s">
        <v>139</v>
      </c>
      <c r="C44" s="7" t="s">
        <v>140</v>
      </c>
      <c r="D44" s="7" t="s">
        <v>1029</v>
      </c>
      <c r="E44" s="8">
        <v>0.4</v>
      </c>
      <c r="F44" s="8">
        <v>-2.1</v>
      </c>
      <c r="G44" s="8">
        <v>-0.2</v>
      </c>
      <c r="H44" s="8">
        <v>1.7</v>
      </c>
      <c r="I44" s="8">
        <v>-4.8</v>
      </c>
      <c r="J44" s="8">
        <v>-1.6</v>
      </c>
      <c r="K44" s="8">
        <v>-1.4</v>
      </c>
      <c r="L44" s="8">
        <v>0.7</v>
      </c>
      <c r="M44" s="8" t="s">
        <v>1483</v>
      </c>
      <c r="N44" s="8" t="s">
        <v>1483</v>
      </c>
    </row>
    <row r="45" spans="1:14" x14ac:dyDescent="0.25">
      <c r="A45" s="6" t="s">
        <v>17</v>
      </c>
      <c r="B45" s="7"/>
      <c r="C45" s="7"/>
      <c r="D45" s="7"/>
      <c r="E45" s="8"/>
      <c r="F45" s="8"/>
      <c r="G45" s="8"/>
      <c r="H45" s="8"/>
      <c r="I45" s="8"/>
      <c r="J45" s="8"/>
      <c r="K45" s="8"/>
      <c r="L45" s="8"/>
      <c r="M45" s="8"/>
      <c r="N45" s="8"/>
    </row>
    <row r="46" spans="1:14" x14ac:dyDescent="0.25">
      <c r="A46" s="6" t="s">
        <v>1028</v>
      </c>
      <c r="B46" s="7"/>
      <c r="C46" s="7"/>
      <c r="D46" s="7"/>
      <c r="E46" s="8"/>
      <c r="F46" s="8"/>
      <c r="G46" s="8"/>
      <c r="H46" s="8"/>
      <c r="I46" s="8"/>
      <c r="J46" s="8"/>
      <c r="K46" s="8"/>
      <c r="L46" s="8"/>
      <c r="M46" s="8"/>
      <c r="N46" s="8"/>
    </row>
    <row r="47" spans="1:14" x14ac:dyDescent="0.25">
      <c r="A47" s="6" t="s">
        <v>1027</v>
      </c>
      <c r="B47" s="7" t="s">
        <v>20</v>
      </c>
      <c r="C47" s="7" t="s">
        <v>21</v>
      </c>
      <c r="D47" s="7" t="s">
        <v>1026</v>
      </c>
      <c r="E47" s="8">
        <v>13120</v>
      </c>
      <c r="F47" s="8">
        <v>13955</v>
      </c>
      <c r="G47" s="8">
        <v>15055</v>
      </c>
      <c r="H47" s="8">
        <v>16750</v>
      </c>
      <c r="I47" s="8">
        <v>16935</v>
      </c>
      <c r="J47" s="8">
        <v>18052</v>
      </c>
      <c r="K47" s="8">
        <v>17828</v>
      </c>
      <c r="L47" s="8">
        <v>15728</v>
      </c>
      <c r="M47" s="8">
        <v>14933.691102502045</v>
      </c>
      <c r="N47" s="8">
        <v>14895.106053484955</v>
      </c>
    </row>
    <row r="48" spans="1:14" x14ac:dyDescent="0.25">
      <c r="A48" s="6" t="s">
        <v>1025</v>
      </c>
      <c r="B48" s="7" t="s">
        <v>20</v>
      </c>
      <c r="C48" s="7" t="s">
        <v>21</v>
      </c>
      <c r="D48" s="7" t="s">
        <v>1024</v>
      </c>
      <c r="E48" s="8">
        <v>5326</v>
      </c>
      <c r="F48" s="8">
        <v>4384</v>
      </c>
      <c r="G48" s="8">
        <v>3747</v>
      </c>
      <c r="H48" s="8">
        <v>3190</v>
      </c>
      <c r="I48" s="8">
        <v>2343</v>
      </c>
      <c r="J48" s="8">
        <v>1839</v>
      </c>
      <c r="K48" s="8">
        <v>1605</v>
      </c>
      <c r="L48" s="8">
        <v>1768</v>
      </c>
      <c r="M48" s="8">
        <v>1564.6362398545803</v>
      </c>
      <c r="N48" s="8">
        <v>1376.6295205021368</v>
      </c>
    </row>
    <row r="49" spans="1:14" x14ac:dyDescent="0.25">
      <c r="A49" s="6" t="s">
        <v>849</v>
      </c>
      <c r="B49" s="7" t="s">
        <v>20</v>
      </c>
      <c r="C49" s="7" t="s">
        <v>21</v>
      </c>
      <c r="D49" s="7" t="s">
        <v>1023</v>
      </c>
      <c r="E49" s="8">
        <v>3664</v>
      </c>
      <c r="F49" s="8">
        <v>3079</v>
      </c>
      <c r="G49" s="8">
        <v>2508</v>
      </c>
      <c r="H49" s="8">
        <v>2019</v>
      </c>
      <c r="I49" s="8">
        <v>1417</v>
      </c>
      <c r="J49" s="8">
        <v>1143</v>
      </c>
      <c r="K49" s="8">
        <v>1009</v>
      </c>
      <c r="L49" s="8">
        <v>1171</v>
      </c>
      <c r="M49" s="8">
        <v>1056.0483529714286</v>
      </c>
      <c r="N49" s="8">
        <v>906.81987099170294</v>
      </c>
    </row>
    <row r="50" spans="1:14" x14ac:dyDescent="0.25">
      <c r="A50" s="6" t="s">
        <v>133</v>
      </c>
      <c r="B50" s="7" t="s">
        <v>20</v>
      </c>
      <c r="C50" s="7" t="s">
        <v>21</v>
      </c>
      <c r="D50" s="7" t="s">
        <v>1022</v>
      </c>
      <c r="E50" s="8">
        <v>1226</v>
      </c>
      <c r="F50" s="8">
        <v>1006</v>
      </c>
      <c r="G50" s="8">
        <v>893</v>
      </c>
      <c r="H50" s="8">
        <v>935</v>
      </c>
      <c r="I50" s="8">
        <v>722</v>
      </c>
      <c r="J50" s="8">
        <v>549</v>
      </c>
      <c r="K50" s="8">
        <v>497</v>
      </c>
      <c r="L50" s="8">
        <v>523</v>
      </c>
      <c r="M50" s="8">
        <v>480.48937148499664</v>
      </c>
      <c r="N50" s="8">
        <v>429.0371725027868</v>
      </c>
    </row>
    <row r="51" spans="1:14" x14ac:dyDescent="0.25">
      <c r="A51" s="6" t="s">
        <v>1021</v>
      </c>
      <c r="B51" s="7" t="s">
        <v>20</v>
      </c>
      <c r="C51" s="7" t="s">
        <v>21</v>
      </c>
      <c r="D51" s="7" t="s">
        <v>1020</v>
      </c>
      <c r="E51" s="8">
        <v>436</v>
      </c>
      <c r="F51" s="8">
        <v>294</v>
      </c>
      <c r="G51" s="8">
        <v>346</v>
      </c>
      <c r="H51" s="8">
        <v>236</v>
      </c>
      <c r="I51" s="8">
        <v>204</v>
      </c>
      <c r="J51" s="8">
        <v>147</v>
      </c>
      <c r="K51" s="8">
        <v>98</v>
      </c>
      <c r="L51" s="8">
        <v>74</v>
      </c>
      <c r="M51" s="8">
        <v>54.770954403787954</v>
      </c>
      <c r="N51" s="8">
        <v>45.450331543803536</v>
      </c>
    </row>
    <row r="52" spans="1:14" x14ac:dyDescent="0.25">
      <c r="A52" s="6" t="s">
        <v>1019</v>
      </c>
      <c r="B52" s="7" t="s">
        <v>20</v>
      </c>
      <c r="C52" s="7" t="s">
        <v>21</v>
      </c>
      <c r="D52" s="7" t="s">
        <v>1018</v>
      </c>
      <c r="E52" s="8">
        <v>2084</v>
      </c>
      <c r="F52" s="8">
        <v>2188</v>
      </c>
      <c r="G52" s="8">
        <v>2243</v>
      </c>
      <c r="H52" s="8">
        <v>2276</v>
      </c>
      <c r="I52" s="8">
        <v>2184</v>
      </c>
      <c r="J52" s="8">
        <v>2197</v>
      </c>
      <c r="K52" s="8">
        <v>2190</v>
      </c>
      <c r="L52" s="8">
        <v>2668</v>
      </c>
      <c r="M52" s="8">
        <v>2354.6298336336904</v>
      </c>
      <c r="N52" s="8">
        <v>1921.6869026775819</v>
      </c>
    </row>
    <row r="53" spans="1:14" x14ac:dyDescent="0.25">
      <c r="A53" s="6" t="s">
        <v>849</v>
      </c>
      <c r="B53" s="7" t="s">
        <v>20</v>
      </c>
      <c r="C53" s="7" t="s">
        <v>21</v>
      </c>
      <c r="D53" s="7" t="s">
        <v>1017</v>
      </c>
      <c r="E53" s="8">
        <v>1051</v>
      </c>
      <c r="F53" s="8">
        <v>1159</v>
      </c>
      <c r="G53" s="8">
        <v>1155</v>
      </c>
      <c r="H53" s="8">
        <v>1127</v>
      </c>
      <c r="I53" s="8">
        <v>1166</v>
      </c>
      <c r="J53" s="8">
        <v>1124</v>
      </c>
      <c r="K53" s="8">
        <v>1082</v>
      </c>
      <c r="L53" s="8">
        <v>1193</v>
      </c>
      <c r="M53" s="8">
        <v>1104.6612721363638</v>
      </c>
      <c r="N53" s="8">
        <v>884.27411483490062</v>
      </c>
    </row>
    <row r="54" spans="1:14" x14ac:dyDescent="0.25">
      <c r="A54" s="6" t="s">
        <v>133</v>
      </c>
      <c r="B54" s="7" t="s">
        <v>20</v>
      </c>
      <c r="C54" s="7" t="s">
        <v>21</v>
      </c>
      <c r="D54" s="7" t="s">
        <v>1016</v>
      </c>
      <c r="E54" s="8">
        <v>1033</v>
      </c>
      <c r="F54" s="8">
        <v>1029</v>
      </c>
      <c r="G54" s="8">
        <v>1088</v>
      </c>
      <c r="H54" s="8">
        <v>1148</v>
      </c>
      <c r="I54" s="8">
        <v>1018</v>
      </c>
      <c r="J54" s="8">
        <v>1073</v>
      </c>
      <c r="K54" s="8">
        <v>1108</v>
      </c>
      <c r="L54" s="8">
        <v>1475</v>
      </c>
      <c r="M54" s="8">
        <v>1242.4393496919977</v>
      </c>
      <c r="N54" s="8">
        <v>1013.1179679443196</v>
      </c>
    </row>
    <row r="55" spans="1:14" x14ac:dyDescent="0.25">
      <c r="A55" s="6" t="s">
        <v>1015</v>
      </c>
      <c r="B55" s="7" t="s">
        <v>20</v>
      </c>
      <c r="C55" s="7" t="s">
        <v>21</v>
      </c>
      <c r="D55" s="7" t="s">
        <v>1014</v>
      </c>
      <c r="E55" s="8">
        <v>5156</v>
      </c>
      <c r="F55" s="8">
        <v>6361</v>
      </c>
      <c r="G55" s="8">
        <v>7707</v>
      </c>
      <c r="H55" s="8">
        <v>9134</v>
      </c>
      <c r="I55" s="8">
        <v>9723</v>
      </c>
      <c r="J55" s="8">
        <v>10858</v>
      </c>
      <c r="K55" s="8">
        <v>10361</v>
      </c>
      <c r="L55" s="8">
        <v>6078</v>
      </c>
      <c r="M55" s="8">
        <v>3725.311481341671</v>
      </c>
      <c r="N55" s="8">
        <v>2559.5210156419948</v>
      </c>
    </row>
    <row r="56" spans="1:14" x14ac:dyDescent="0.25">
      <c r="A56" s="6" t="s">
        <v>849</v>
      </c>
      <c r="B56" s="7" t="s">
        <v>20</v>
      </c>
      <c r="C56" s="7" t="s">
        <v>21</v>
      </c>
      <c r="D56" s="7" t="s">
        <v>1013</v>
      </c>
      <c r="E56" s="8">
        <v>3469</v>
      </c>
      <c r="F56" s="8">
        <v>4346</v>
      </c>
      <c r="G56" s="8">
        <v>5240</v>
      </c>
      <c r="H56" s="8">
        <v>5938</v>
      </c>
      <c r="I56" s="8">
        <v>6388</v>
      </c>
      <c r="J56" s="8">
        <v>6966</v>
      </c>
      <c r="K56" s="8">
        <v>6720</v>
      </c>
      <c r="L56" s="8">
        <v>3847</v>
      </c>
      <c r="M56" s="8">
        <v>2111.8064363636363</v>
      </c>
      <c r="N56" s="8">
        <v>1372.8029611818183</v>
      </c>
    </row>
    <row r="57" spans="1:14" x14ac:dyDescent="0.25">
      <c r="A57" s="6" t="s">
        <v>1008</v>
      </c>
      <c r="B57" s="7" t="s">
        <v>20</v>
      </c>
      <c r="C57" s="7" t="s">
        <v>21</v>
      </c>
      <c r="D57" s="7" t="s">
        <v>784</v>
      </c>
      <c r="E57" s="8" t="s">
        <v>1483</v>
      </c>
      <c r="F57" s="8" t="s">
        <v>1483</v>
      </c>
      <c r="G57" s="8" t="s">
        <v>1483</v>
      </c>
      <c r="H57" s="8" t="s">
        <v>1483</v>
      </c>
      <c r="I57" s="8" t="s">
        <v>1483</v>
      </c>
      <c r="J57" s="8" t="s">
        <v>1483</v>
      </c>
      <c r="K57" s="8" t="s">
        <v>1483</v>
      </c>
      <c r="L57" s="8" t="s">
        <v>1483</v>
      </c>
      <c r="M57" s="8" t="s">
        <v>1483</v>
      </c>
      <c r="N57" s="8" t="s">
        <v>1483</v>
      </c>
    </row>
    <row r="58" spans="1:14" x14ac:dyDescent="0.25">
      <c r="A58" s="6" t="s">
        <v>1007</v>
      </c>
      <c r="B58" s="7" t="s">
        <v>20</v>
      </c>
      <c r="C58" s="7" t="s">
        <v>21</v>
      </c>
      <c r="D58" s="7" t="s">
        <v>774</v>
      </c>
      <c r="E58" s="8" t="s">
        <v>1483</v>
      </c>
      <c r="F58" s="8" t="s">
        <v>1483</v>
      </c>
      <c r="G58" s="8" t="s">
        <v>1483</v>
      </c>
      <c r="H58" s="8" t="s">
        <v>1483</v>
      </c>
      <c r="I58" s="8" t="s">
        <v>1483</v>
      </c>
      <c r="J58" s="8" t="s">
        <v>1483</v>
      </c>
      <c r="K58" s="8" t="s">
        <v>1483</v>
      </c>
      <c r="L58" s="8" t="s">
        <v>1483</v>
      </c>
      <c r="M58" s="8" t="s">
        <v>1483</v>
      </c>
      <c r="N58" s="8" t="s">
        <v>1483</v>
      </c>
    </row>
    <row r="59" spans="1:14" x14ac:dyDescent="0.25">
      <c r="A59" s="6" t="s">
        <v>1006</v>
      </c>
      <c r="B59" s="7" t="s">
        <v>20</v>
      </c>
      <c r="C59" s="7" t="s">
        <v>21</v>
      </c>
      <c r="D59" s="7" t="s">
        <v>762</v>
      </c>
      <c r="E59" s="8" t="s">
        <v>1483</v>
      </c>
      <c r="F59" s="8" t="s">
        <v>1483</v>
      </c>
      <c r="G59" s="8" t="s">
        <v>1483</v>
      </c>
      <c r="H59" s="8" t="s">
        <v>1483</v>
      </c>
      <c r="I59" s="8" t="s">
        <v>1483</v>
      </c>
      <c r="J59" s="8" t="s">
        <v>1483</v>
      </c>
      <c r="K59" s="8" t="s">
        <v>1483</v>
      </c>
      <c r="L59" s="8" t="s">
        <v>1483</v>
      </c>
      <c r="M59" s="8" t="s">
        <v>1483</v>
      </c>
      <c r="N59" s="8" t="s">
        <v>1483</v>
      </c>
    </row>
    <row r="60" spans="1:14" x14ac:dyDescent="0.25">
      <c r="A60" s="6" t="s">
        <v>133</v>
      </c>
      <c r="B60" s="7" t="s">
        <v>20</v>
      </c>
      <c r="C60" s="7" t="s">
        <v>21</v>
      </c>
      <c r="D60" s="7" t="s">
        <v>1012</v>
      </c>
      <c r="E60" s="8">
        <v>1687</v>
      </c>
      <c r="F60" s="8">
        <v>2015</v>
      </c>
      <c r="G60" s="8">
        <v>2467</v>
      </c>
      <c r="H60" s="8">
        <v>3196</v>
      </c>
      <c r="I60" s="8">
        <v>3335</v>
      </c>
      <c r="J60" s="8">
        <v>3892</v>
      </c>
      <c r="K60" s="8">
        <v>3641</v>
      </c>
      <c r="L60" s="8">
        <v>2230</v>
      </c>
      <c r="M60" s="8">
        <v>1597.8701872325973</v>
      </c>
      <c r="N60" s="8">
        <v>1181.4532111744477</v>
      </c>
    </row>
    <row r="61" spans="1:14" x14ac:dyDescent="0.25">
      <c r="A61" s="6" t="s">
        <v>1011</v>
      </c>
      <c r="B61" s="7" t="s">
        <v>20</v>
      </c>
      <c r="C61" s="7" t="s">
        <v>21</v>
      </c>
      <c r="D61" s="7" t="s">
        <v>1010</v>
      </c>
      <c r="E61" s="8">
        <v>544</v>
      </c>
      <c r="F61" s="8">
        <v>1012</v>
      </c>
      <c r="G61" s="8">
        <v>1347</v>
      </c>
      <c r="H61" s="8">
        <v>2127</v>
      </c>
      <c r="I61" s="8">
        <v>2668</v>
      </c>
      <c r="J61" s="8">
        <v>3147</v>
      </c>
      <c r="K61" s="8">
        <v>3670</v>
      </c>
      <c r="L61" s="8">
        <v>5155</v>
      </c>
      <c r="M61" s="8">
        <v>7046.4611633029463</v>
      </c>
      <c r="N61" s="8">
        <v>8549.9211378453874</v>
      </c>
    </row>
    <row r="62" spans="1:14" x14ac:dyDescent="0.25">
      <c r="A62" s="6" t="s">
        <v>849</v>
      </c>
      <c r="B62" s="7" t="s">
        <v>20</v>
      </c>
      <c r="C62" s="7" t="s">
        <v>21</v>
      </c>
      <c r="D62" s="7" t="s">
        <v>1009</v>
      </c>
      <c r="E62" s="8">
        <v>453</v>
      </c>
      <c r="F62" s="8">
        <v>764</v>
      </c>
      <c r="G62" s="8">
        <v>926</v>
      </c>
      <c r="H62" s="8">
        <v>1504</v>
      </c>
      <c r="I62" s="8">
        <v>1844</v>
      </c>
      <c r="J62" s="8">
        <v>2147</v>
      </c>
      <c r="K62" s="8">
        <v>2443</v>
      </c>
      <c r="L62" s="8">
        <v>3529</v>
      </c>
      <c r="M62" s="8">
        <v>4967.7846426545448</v>
      </c>
      <c r="N62" s="8">
        <v>6073.8642857273453</v>
      </c>
    </row>
    <row r="63" spans="1:14" x14ac:dyDescent="0.25">
      <c r="A63" s="6" t="s">
        <v>1008</v>
      </c>
      <c r="B63" s="7" t="s">
        <v>20</v>
      </c>
      <c r="C63" s="7" t="s">
        <v>21</v>
      </c>
      <c r="D63" s="7" t="s">
        <v>783</v>
      </c>
      <c r="E63" s="8" t="s">
        <v>1483</v>
      </c>
      <c r="F63" s="8" t="s">
        <v>1483</v>
      </c>
      <c r="G63" s="8" t="s">
        <v>1483</v>
      </c>
      <c r="H63" s="8" t="s">
        <v>1483</v>
      </c>
      <c r="I63" s="8" t="s">
        <v>1483</v>
      </c>
      <c r="J63" s="8" t="s">
        <v>1483</v>
      </c>
      <c r="K63" s="8" t="s">
        <v>1483</v>
      </c>
      <c r="L63" s="8" t="s">
        <v>1483</v>
      </c>
      <c r="M63" s="8" t="s">
        <v>1483</v>
      </c>
      <c r="N63" s="8" t="s">
        <v>1483</v>
      </c>
    </row>
    <row r="64" spans="1:14" x14ac:dyDescent="0.25">
      <c r="A64" s="6" t="s">
        <v>1007</v>
      </c>
      <c r="B64" s="7" t="s">
        <v>20</v>
      </c>
      <c r="C64" s="7" t="s">
        <v>21</v>
      </c>
      <c r="D64" s="7" t="s">
        <v>773</v>
      </c>
      <c r="E64" s="8" t="s">
        <v>1483</v>
      </c>
      <c r="F64" s="8" t="s">
        <v>1483</v>
      </c>
      <c r="G64" s="8" t="s">
        <v>1483</v>
      </c>
      <c r="H64" s="8" t="s">
        <v>1483</v>
      </c>
      <c r="I64" s="8" t="s">
        <v>1483</v>
      </c>
      <c r="J64" s="8" t="s">
        <v>1483</v>
      </c>
      <c r="K64" s="8" t="s">
        <v>1483</v>
      </c>
      <c r="L64" s="8" t="s">
        <v>1483</v>
      </c>
      <c r="M64" s="8" t="s">
        <v>1483</v>
      </c>
      <c r="N64" s="8" t="s">
        <v>1483</v>
      </c>
    </row>
    <row r="65" spans="1:14" x14ac:dyDescent="0.25">
      <c r="A65" s="6" t="s">
        <v>1006</v>
      </c>
      <c r="B65" s="7" t="s">
        <v>20</v>
      </c>
      <c r="C65" s="7" t="s">
        <v>21</v>
      </c>
      <c r="D65" s="7" t="s">
        <v>749</v>
      </c>
      <c r="E65" s="8" t="s">
        <v>1483</v>
      </c>
      <c r="F65" s="8" t="s">
        <v>1483</v>
      </c>
      <c r="G65" s="8" t="s">
        <v>1483</v>
      </c>
      <c r="H65" s="8" t="s">
        <v>1483</v>
      </c>
      <c r="I65" s="8" t="s">
        <v>1483</v>
      </c>
      <c r="J65" s="8" t="s">
        <v>1483</v>
      </c>
      <c r="K65" s="8" t="s">
        <v>1483</v>
      </c>
      <c r="L65" s="8" t="s">
        <v>1483</v>
      </c>
      <c r="M65" s="8" t="s">
        <v>1483</v>
      </c>
      <c r="N65" s="8" t="s">
        <v>1483</v>
      </c>
    </row>
    <row r="66" spans="1:14" x14ac:dyDescent="0.25">
      <c r="A66" s="6" t="s">
        <v>133</v>
      </c>
      <c r="B66" s="7" t="s">
        <v>20</v>
      </c>
      <c r="C66" s="7" t="s">
        <v>21</v>
      </c>
      <c r="D66" s="7" t="s">
        <v>1005</v>
      </c>
      <c r="E66" s="8">
        <v>91</v>
      </c>
      <c r="F66" s="8">
        <v>249</v>
      </c>
      <c r="G66" s="8">
        <v>421</v>
      </c>
      <c r="H66" s="8">
        <v>624</v>
      </c>
      <c r="I66" s="8">
        <v>824</v>
      </c>
      <c r="J66" s="8">
        <v>999</v>
      </c>
      <c r="K66" s="8">
        <v>1227</v>
      </c>
      <c r="L66" s="8">
        <v>1626</v>
      </c>
      <c r="M66" s="8">
        <v>2095.4211013724675</v>
      </c>
      <c r="N66" s="8">
        <v>2443.2629973611615</v>
      </c>
    </row>
    <row r="67" spans="1:14" x14ac:dyDescent="0.25">
      <c r="A67" s="6" t="s">
        <v>1004</v>
      </c>
      <c r="B67" s="7" t="s">
        <v>20</v>
      </c>
      <c r="C67" s="7" t="s">
        <v>21</v>
      </c>
      <c r="D67" s="7" t="s">
        <v>1003</v>
      </c>
      <c r="E67" s="8">
        <v>10</v>
      </c>
      <c r="F67" s="8">
        <v>10</v>
      </c>
      <c r="G67" s="8">
        <v>11</v>
      </c>
      <c r="H67" s="8">
        <v>23</v>
      </c>
      <c r="I67" s="8">
        <v>17</v>
      </c>
      <c r="J67" s="8">
        <v>11</v>
      </c>
      <c r="K67" s="8">
        <v>3</v>
      </c>
      <c r="L67" s="8">
        <v>59</v>
      </c>
      <c r="M67" s="8">
        <v>85.767972222222227</v>
      </c>
      <c r="N67" s="8">
        <v>137.25373396944443</v>
      </c>
    </row>
    <row r="68" spans="1:14" x14ac:dyDescent="0.25">
      <c r="A68" s="6" t="s">
        <v>849</v>
      </c>
      <c r="B68" s="7" t="s">
        <v>20</v>
      </c>
      <c r="C68" s="7" t="s">
        <v>21</v>
      </c>
      <c r="D68" s="7" t="s">
        <v>1002</v>
      </c>
      <c r="E68" s="8">
        <v>0</v>
      </c>
      <c r="F68" s="8">
        <v>0</v>
      </c>
      <c r="G68" s="8">
        <v>0</v>
      </c>
      <c r="H68" s="8">
        <v>20</v>
      </c>
      <c r="I68" s="8">
        <v>17</v>
      </c>
      <c r="J68" s="8">
        <v>11</v>
      </c>
      <c r="K68" s="8">
        <v>3</v>
      </c>
      <c r="L68" s="8">
        <v>58</v>
      </c>
      <c r="M68" s="8">
        <v>109.33333333333333</v>
      </c>
      <c r="N68" s="8">
        <v>204.42599999999996</v>
      </c>
    </row>
    <row r="69" spans="1:14" x14ac:dyDescent="0.25">
      <c r="A69" s="6" t="s">
        <v>133</v>
      </c>
      <c r="B69" s="7" t="s">
        <v>20</v>
      </c>
      <c r="C69" s="7" t="s">
        <v>21</v>
      </c>
      <c r="D69" s="7" t="s">
        <v>1001</v>
      </c>
      <c r="E69" s="8">
        <v>10</v>
      </c>
      <c r="F69" s="8">
        <v>10</v>
      </c>
      <c r="G69" s="8">
        <v>11</v>
      </c>
      <c r="H69" s="8">
        <v>4</v>
      </c>
      <c r="I69" s="8">
        <v>0</v>
      </c>
      <c r="J69" s="8">
        <v>0</v>
      </c>
      <c r="K69" s="8">
        <v>0</v>
      </c>
      <c r="L69" s="8">
        <v>2</v>
      </c>
      <c r="M69" s="8" t="s">
        <v>1483</v>
      </c>
      <c r="N69" s="8" t="s">
        <v>1483</v>
      </c>
    </row>
    <row r="70" spans="1:14" x14ac:dyDescent="0.25">
      <c r="A70" s="6" t="s">
        <v>17</v>
      </c>
      <c r="B70" s="7"/>
      <c r="C70" s="7"/>
      <c r="D70" s="7"/>
      <c r="E70" s="8"/>
      <c r="F70" s="8"/>
      <c r="G70" s="8"/>
      <c r="H70" s="8"/>
      <c r="I70" s="8"/>
      <c r="J70" s="8"/>
      <c r="K70" s="8"/>
      <c r="L70" s="8"/>
      <c r="M70" s="8"/>
      <c r="N70" s="8"/>
    </row>
    <row r="71" spans="1:14" x14ac:dyDescent="0.25">
      <c r="A71" s="6" t="s">
        <v>1000</v>
      </c>
      <c r="B71" s="7" t="s">
        <v>20</v>
      </c>
      <c r="C71" s="7" t="s">
        <v>21</v>
      </c>
      <c r="D71" s="7" t="s">
        <v>999</v>
      </c>
      <c r="E71" s="8">
        <v>3304</v>
      </c>
      <c r="F71" s="8">
        <v>3412</v>
      </c>
      <c r="G71" s="8">
        <v>3574</v>
      </c>
      <c r="H71" s="8">
        <v>5825</v>
      </c>
      <c r="I71" s="8">
        <v>5449</v>
      </c>
      <c r="J71" s="8">
        <v>4418</v>
      </c>
      <c r="K71" s="8">
        <v>3396</v>
      </c>
      <c r="L71" s="8">
        <v>3241</v>
      </c>
      <c r="M71" s="8">
        <v>3058.689287820453</v>
      </c>
      <c r="N71" s="8">
        <v>2675.8463565939028</v>
      </c>
    </row>
    <row r="72" spans="1:14" x14ac:dyDescent="0.25">
      <c r="A72" s="6" t="s">
        <v>998</v>
      </c>
      <c r="B72" s="7" t="s">
        <v>20</v>
      </c>
      <c r="C72" s="7" t="s">
        <v>21</v>
      </c>
      <c r="D72" s="7" t="s">
        <v>997</v>
      </c>
      <c r="E72" s="8">
        <v>816</v>
      </c>
      <c r="F72" s="8">
        <v>861</v>
      </c>
      <c r="G72" s="8">
        <v>963</v>
      </c>
      <c r="H72" s="8">
        <v>994</v>
      </c>
      <c r="I72" s="8">
        <v>1008</v>
      </c>
      <c r="J72" s="8">
        <v>1150</v>
      </c>
      <c r="K72" s="8">
        <v>1272</v>
      </c>
      <c r="L72" s="8">
        <v>1486</v>
      </c>
      <c r="M72" s="8">
        <v>1447.248281266902</v>
      </c>
      <c r="N72" s="8">
        <v>1197.5587363734144</v>
      </c>
    </row>
    <row r="73" spans="1:14" x14ac:dyDescent="0.25">
      <c r="A73" s="6" t="s">
        <v>849</v>
      </c>
      <c r="B73" s="7" t="s">
        <v>20</v>
      </c>
      <c r="C73" s="7" t="s">
        <v>21</v>
      </c>
      <c r="D73" s="7" t="s">
        <v>996</v>
      </c>
      <c r="E73" s="8">
        <v>58</v>
      </c>
      <c r="F73" s="8">
        <v>50</v>
      </c>
      <c r="G73" s="8">
        <v>44</v>
      </c>
      <c r="H73" s="8">
        <v>41</v>
      </c>
      <c r="I73" s="8">
        <v>36</v>
      </c>
      <c r="J73" s="8">
        <v>35</v>
      </c>
      <c r="K73" s="8">
        <v>31</v>
      </c>
      <c r="L73" s="8">
        <v>26</v>
      </c>
      <c r="M73" s="8">
        <v>22.320256666666669</v>
      </c>
      <c r="N73" s="8">
        <v>19.752113744444443</v>
      </c>
    </row>
    <row r="74" spans="1:14" x14ac:dyDescent="0.25">
      <c r="A74" s="6" t="s">
        <v>133</v>
      </c>
      <c r="B74" s="7" t="s">
        <v>20</v>
      </c>
      <c r="C74" s="7" t="s">
        <v>21</v>
      </c>
      <c r="D74" s="7" t="s">
        <v>995</v>
      </c>
      <c r="E74" s="8">
        <v>758</v>
      </c>
      <c r="F74" s="8">
        <v>812</v>
      </c>
      <c r="G74" s="8">
        <v>919</v>
      </c>
      <c r="H74" s="8">
        <v>953</v>
      </c>
      <c r="I74" s="8">
        <v>972</v>
      </c>
      <c r="J74" s="8">
        <v>1115</v>
      </c>
      <c r="K74" s="8">
        <v>1241</v>
      </c>
      <c r="L74" s="8">
        <v>1461</v>
      </c>
      <c r="M74" s="8">
        <v>1442.8807360024582</v>
      </c>
      <c r="N74" s="8">
        <v>1178.4650405746338</v>
      </c>
    </row>
    <row r="75" spans="1:14" x14ac:dyDescent="0.25">
      <c r="A75" s="6" t="s">
        <v>994</v>
      </c>
      <c r="B75" s="7" t="s">
        <v>20</v>
      </c>
      <c r="C75" s="7" t="s">
        <v>21</v>
      </c>
      <c r="D75" s="7" t="s">
        <v>993</v>
      </c>
      <c r="E75" s="8">
        <v>1955</v>
      </c>
      <c r="F75" s="8">
        <v>2110</v>
      </c>
      <c r="G75" s="8">
        <v>2184</v>
      </c>
      <c r="H75" s="8">
        <v>2083</v>
      </c>
      <c r="I75" s="8">
        <v>1943</v>
      </c>
      <c r="J75" s="8">
        <v>1854</v>
      </c>
      <c r="K75" s="8">
        <v>1712</v>
      </c>
      <c r="L75" s="8">
        <v>1579</v>
      </c>
      <c r="M75" s="8">
        <v>1435.2154035553847</v>
      </c>
      <c r="N75" s="8">
        <v>1193.0787466963789</v>
      </c>
    </row>
    <row r="76" spans="1:14" x14ac:dyDescent="0.25">
      <c r="A76" s="6" t="s">
        <v>849</v>
      </c>
      <c r="B76" s="7" t="s">
        <v>20</v>
      </c>
      <c r="C76" s="7" t="s">
        <v>21</v>
      </c>
      <c r="D76" s="7" t="s">
        <v>992</v>
      </c>
      <c r="E76" s="8">
        <v>1169</v>
      </c>
      <c r="F76" s="8">
        <v>1422</v>
      </c>
      <c r="G76" s="8">
        <v>1587</v>
      </c>
      <c r="H76" s="8">
        <v>1508</v>
      </c>
      <c r="I76" s="8">
        <v>1494</v>
      </c>
      <c r="J76" s="8">
        <v>1446</v>
      </c>
      <c r="K76" s="8">
        <v>1312</v>
      </c>
      <c r="L76" s="8">
        <v>1226</v>
      </c>
      <c r="M76" s="8">
        <v>1122.4470464999999</v>
      </c>
      <c r="N76" s="8">
        <v>891.00224775480012</v>
      </c>
    </row>
    <row r="77" spans="1:14" x14ac:dyDescent="0.25">
      <c r="A77" s="6" t="s">
        <v>133</v>
      </c>
      <c r="B77" s="7" t="s">
        <v>20</v>
      </c>
      <c r="C77" s="7" t="s">
        <v>21</v>
      </c>
      <c r="D77" s="7" t="s">
        <v>991</v>
      </c>
      <c r="E77" s="8">
        <v>786</v>
      </c>
      <c r="F77" s="8">
        <v>689</v>
      </c>
      <c r="G77" s="8">
        <v>597</v>
      </c>
      <c r="H77" s="8">
        <v>575</v>
      </c>
      <c r="I77" s="8">
        <v>449</v>
      </c>
      <c r="J77" s="8">
        <v>408</v>
      </c>
      <c r="K77" s="8">
        <v>401</v>
      </c>
      <c r="L77" s="8">
        <v>353</v>
      </c>
      <c r="M77" s="8">
        <v>315.56515553203678</v>
      </c>
      <c r="N77" s="8">
        <v>276.03993649002723</v>
      </c>
    </row>
    <row r="78" spans="1:14" x14ac:dyDescent="0.25">
      <c r="A78" s="6" t="s">
        <v>990</v>
      </c>
      <c r="B78" s="7" t="s">
        <v>20</v>
      </c>
      <c r="C78" s="7" t="s">
        <v>21</v>
      </c>
      <c r="D78" s="7" t="s">
        <v>989</v>
      </c>
      <c r="E78" s="8">
        <v>533</v>
      </c>
      <c r="F78" s="8">
        <v>441</v>
      </c>
      <c r="G78" s="8">
        <v>427</v>
      </c>
      <c r="H78" s="8">
        <v>363</v>
      </c>
      <c r="I78" s="8">
        <v>319</v>
      </c>
      <c r="J78" s="8">
        <v>297</v>
      </c>
      <c r="K78" s="8">
        <v>412</v>
      </c>
      <c r="L78" s="8">
        <v>176</v>
      </c>
      <c r="M78" s="8">
        <v>160.63147078792832</v>
      </c>
      <c r="N78" s="8">
        <v>155.91735170668042</v>
      </c>
    </row>
    <row r="79" spans="1:14" x14ac:dyDescent="0.25">
      <c r="A79" s="6" t="s">
        <v>849</v>
      </c>
      <c r="B79" s="7" t="s">
        <v>20</v>
      </c>
      <c r="C79" s="7" t="s">
        <v>21</v>
      </c>
      <c r="D79" s="7" t="s">
        <v>988</v>
      </c>
      <c r="E79" s="8">
        <v>151</v>
      </c>
      <c r="F79" s="8">
        <v>126</v>
      </c>
      <c r="G79" s="8">
        <v>104</v>
      </c>
      <c r="H79" s="8">
        <v>66</v>
      </c>
      <c r="I79" s="8">
        <v>30</v>
      </c>
      <c r="J79" s="8">
        <v>19</v>
      </c>
      <c r="K79" s="8">
        <v>11</v>
      </c>
      <c r="L79" s="8">
        <v>12</v>
      </c>
      <c r="M79" s="8">
        <v>10.579571250000001</v>
      </c>
      <c r="N79" s="8">
        <v>10.03690437275</v>
      </c>
    </row>
    <row r="80" spans="1:14" x14ac:dyDescent="0.25">
      <c r="A80" s="6" t="s">
        <v>133</v>
      </c>
      <c r="B80" s="7" t="s">
        <v>20</v>
      </c>
      <c r="C80" s="7" t="s">
        <v>21</v>
      </c>
      <c r="D80" s="7" t="s">
        <v>987</v>
      </c>
      <c r="E80" s="8">
        <v>382</v>
      </c>
      <c r="F80" s="8">
        <v>315</v>
      </c>
      <c r="G80" s="8">
        <v>292</v>
      </c>
      <c r="H80" s="8">
        <v>297</v>
      </c>
      <c r="I80" s="8">
        <v>289</v>
      </c>
      <c r="J80" s="8">
        <v>278</v>
      </c>
      <c r="K80" s="8">
        <v>400</v>
      </c>
      <c r="L80" s="8">
        <v>163</v>
      </c>
      <c r="M80" s="8">
        <v>144.01943551965402</v>
      </c>
      <c r="N80" s="8">
        <v>138.13763745991545</v>
      </c>
    </row>
    <row r="81" spans="1:14" x14ac:dyDescent="0.25">
      <c r="A81" s="6" t="s">
        <v>17</v>
      </c>
      <c r="B81" s="7"/>
      <c r="C81" s="7"/>
      <c r="D81" s="7"/>
      <c r="E81" s="8"/>
      <c r="F81" s="8"/>
      <c r="G81" s="8"/>
      <c r="H81" s="8"/>
      <c r="I81" s="8"/>
      <c r="J81" s="8"/>
      <c r="K81" s="8"/>
      <c r="L81" s="8"/>
      <c r="M81" s="8"/>
      <c r="N81" s="8"/>
    </row>
    <row r="82" spans="1:14" x14ac:dyDescent="0.25">
      <c r="A82" s="6" t="s">
        <v>986</v>
      </c>
      <c r="B82" s="7" t="s">
        <v>20</v>
      </c>
      <c r="C82" s="7" t="s">
        <v>21</v>
      </c>
      <c r="D82" s="7" t="s">
        <v>985</v>
      </c>
      <c r="E82" s="8">
        <v>6077</v>
      </c>
      <c r="F82" s="8">
        <v>6328</v>
      </c>
      <c r="G82" s="8">
        <v>6548</v>
      </c>
      <c r="H82" s="8">
        <v>6988</v>
      </c>
      <c r="I82" s="8">
        <v>6892</v>
      </c>
      <c r="J82" s="8">
        <v>7140</v>
      </c>
      <c r="K82" s="8">
        <v>7115</v>
      </c>
      <c r="L82" s="8">
        <v>7837</v>
      </c>
      <c r="M82" s="8">
        <v>8845.8696609279395</v>
      </c>
      <c r="N82" s="8">
        <v>9721.9047821290551</v>
      </c>
    </row>
    <row r="83" spans="1:14" x14ac:dyDescent="0.25">
      <c r="A83" s="6" t="s">
        <v>984</v>
      </c>
      <c r="B83" s="7" t="s">
        <v>20</v>
      </c>
      <c r="C83" s="7" t="s">
        <v>21</v>
      </c>
      <c r="D83" s="7" t="s">
        <v>983</v>
      </c>
      <c r="E83" s="8" t="s">
        <v>1483</v>
      </c>
      <c r="F83" s="8" t="s">
        <v>1483</v>
      </c>
      <c r="G83" s="8" t="s">
        <v>1483</v>
      </c>
      <c r="H83" s="8" t="s">
        <v>1483</v>
      </c>
      <c r="I83" s="8" t="s">
        <v>1483</v>
      </c>
      <c r="J83" s="8" t="s">
        <v>1483</v>
      </c>
      <c r="K83" s="8" t="s">
        <v>1483</v>
      </c>
      <c r="L83" s="8">
        <v>700</v>
      </c>
      <c r="M83" s="8">
        <v>1265.4184409714285</v>
      </c>
      <c r="N83" s="8">
        <v>1824.54767470042</v>
      </c>
    </row>
    <row r="84" spans="1:14" x14ac:dyDescent="0.25">
      <c r="A84" s="6" t="s">
        <v>849</v>
      </c>
      <c r="B84" s="7" t="s">
        <v>20</v>
      </c>
      <c r="C84" s="7" t="s">
        <v>21</v>
      </c>
      <c r="D84" s="7" t="s">
        <v>982</v>
      </c>
      <c r="E84" s="8" t="s">
        <v>1483</v>
      </c>
      <c r="F84" s="8" t="s">
        <v>1483</v>
      </c>
      <c r="G84" s="8" t="s">
        <v>1483</v>
      </c>
      <c r="H84" s="8" t="s">
        <v>1483</v>
      </c>
      <c r="I84" s="8" t="s">
        <v>1483</v>
      </c>
      <c r="J84" s="8" t="s">
        <v>1483</v>
      </c>
      <c r="K84" s="8">
        <v>0</v>
      </c>
      <c r="L84" s="8">
        <v>700</v>
      </c>
      <c r="M84" s="8" t="s">
        <v>1483</v>
      </c>
      <c r="N84" s="8" t="s">
        <v>1483</v>
      </c>
    </row>
    <row r="85" spans="1:14" x14ac:dyDescent="0.25">
      <c r="A85" s="6" t="s">
        <v>133</v>
      </c>
      <c r="B85" s="7" t="s">
        <v>20</v>
      </c>
      <c r="C85" s="7" t="s">
        <v>21</v>
      </c>
      <c r="D85" s="7" t="s">
        <v>981</v>
      </c>
      <c r="E85" s="8" t="s">
        <v>1483</v>
      </c>
      <c r="F85" s="8" t="s">
        <v>1483</v>
      </c>
      <c r="G85" s="8" t="s">
        <v>1483</v>
      </c>
      <c r="H85" s="8" t="s">
        <v>1483</v>
      </c>
      <c r="I85" s="8" t="s">
        <v>1483</v>
      </c>
      <c r="J85" s="8" t="s">
        <v>1483</v>
      </c>
      <c r="K85" s="8">
        <v>0</v>
      </c>
      <c r="L85" s="8">
        <v>0</v>
      </c>
      <c r="M85" s="8" t="s">
        <v>1483</v>
      </c>
      <c r="N85" s="8" t="s">
        <v>1483</v>
      </c>
    </row>
    <row r="86" spans="1:14" x14ac:dyDescent="0.25">
      <c r="A86" s="6" t="s">
        <v>980</v>
      </c>
      <c r="B86" s="7" t="s">
        <v>20</v>
      </c>
      <c r="C86" s="7" t="s">
        <v>21</v>
      </c>
      <c r="D86" s="7" t="s">
        <v>979</v>
      </c>
      <c r="E86" s="8">
        <v>663</v>
      </c>
      <c r="F86" s="8">
        <v>696</v>
      </c>
      <c r="G86" s="8">
        <v>621</v>
      </c>
      <c r="H86" s="8">
        <v>667</v>
      </c>
      <c r="I86" s="8">
        <v>644</v>
      </c>
      <c r="J86" s="8">
        <v>783</v>
      </c>
      <c r="K86" s="8">
        <v>641</v>
      </c>
      <c r="L86" s="8">
        <v>584</v>
      </c>
      <c r="M86" s="8">
        <v>517.48450087881622</v>
      </c>
      <c r="N86" s="8">
        <v>488.39722815580348</v>
      </c>
    </row>
    <row r="87" spans="1:14" x14ac:dyDescent="0.25">
      <c r="A87" s="6" t="s">
        <v>849</v>
      </c>
      <c r="B87" s="7" t="s">
        <v>20</v>
      </c>
      <c r="C87" s="7" t="s">
        <v>21</v>
      </c>
      <c r="D87" s="7" t="s">
        <v>978</v>
      </c>
      <c r="E87" s="8">
        <v>229</v>
      </c>
      <c r="F87" s="8">
        <v>233</v>
      </c>
      <c r="G87" s="8">
        <v>183</v>
      </c>
      <c r="H87" s="8">
        <v>172</v>
      </c>
      <c r="I87" s="8">
        <v>151</v>
      </c>
      <c r="J87" s="8">
        <v>230</v>
      </c>
      <c r="K87" s="8">
        <v>134</v>
      </c>
      <c r="L87" s="8">
        <v>82</v>
      </c>
      <c r="M87" s="8">
        <v>49.567934999999999</v>
      </c>
      <c r="N87" s="8">
        <v>44.041439736000001</v>
      </c>
    </row>
    <row r="88" spans="1:14" x14ac:dyDescent="0.25">
      <c r="A88" s="6" t="s">
        <v>133</v>
      </c>
      <c r="B88" s="7" t="s">
        <v>20</v>
      </c>
      <c r="C88" s="7" t="s">
        <v>21</v>
      </c>
      <c r="D88" s="7" t="s">
        <v>977</v>
      </c>
      <c r="E88" s="8">
        <v>434</v>
      </c>
      <c r="F88" s="8">
        <v>463</v>
      </c>
      <c r="G88" s="8">
        <v>439</v>
      </c>
      <c r="H88" s="8">
        <v>495</v>
      </c>
      <c r="I88" s="8">
        <v>493</v>
      </c>
      <c r="J88" s="8">
        <v>554</v>
      </c>
      <c r="K88" s="8">
        <v>507</v>
      </c>
      <c r="L88" s="8">
        <v>502</v>
      </c>
      <c r="M88" s="8">
        <v>464.55724543113308</v>
      </c>
      <c r="N88" s="8">
        <v>441.85542997427638</v>
      </c>
    </row>
    <row r="89" spans="1:14" x14ac:dyDescent="0.25">
      <c r="A89" s="6" t="s">
        <v>976</v>
      </c>
      <c r="B89" s="7" t="s">
        <v>20</v>
      </c>
      <c r="C89" s="7" t="s">
        <v>21</v>
      </c>
      <c r="D89" s="7" t="s">
        <v>975</v>
      </c>
      <c r="E89" s="8">
        <v>2928</v>
      </c>
      <c r="F89" s="8">
        <v>3330</v>
      </c>
      <c r="G89" s="8">
        <v>3653</v>
      </c>
      <c r="H89" s="8">
        <v>4022</v>
      </c>
      <c r="I89" s="8">
        <v>4140</v>
      </c>
      <c r="J89" s="8">
        <v>4115</v>
      </c>
      <c r="K89" s="8">
        <v>4222</v>
      </c>
      <c r="L89" s="8">
        <v>3810</v>
      </c>
      <c r="M89" s="8">
        <v>3683.014091073293</v>
      </c>
      <c r="N89" s="8">
        <v>3637.5111036917201</v>
      </c>
    </row>
    <row r="90" spans="1:14" x14ac:dyDescent="0.25">
      <c r="A90" s="6" t="s">
        <v>849</v>
      </c>
      <c r="B90" s="7" t="s">
        <v>20</v>
      </c>
      <c r="C90" s="7" t="s">
        <v>21</v>
      </c>
      <c r="D90" s="7" t="s">
        <v>974</v>
      </c>
      <c r="E90" s="8">
        <v>1791</v>
      </c>
      <c r="F90" s="8">
        <v>2107</v>
      </c>
      <c r="G90" s="8">
        <v>2314</v>
      </c>
      <c r="H90" s="8">
        <v>2550</v>
      </c>
      <c r="I90" s="8">
        <v>2714</v>
      </c>
      <c r="J90" s="8">
        <v>2897</v>
      </c>
      <c r="K90" s="8">
        <v>3125</v>
      </c>
      <c r="L90" s="8">
        <v>2725</v>
      </c>
      <c r="M90" s="8">
        <v>2662.387839</v>
      </c>
      <c r="N90" s="8">
        <v>2634.70026723</v>
      </c>
    </row>
    <row r="91" spans="1:14" x14ac:dyDescent="0.25">
      <c r="A91" s="6" t="s">
        <v>133</v>
      </c>
      <c r="B91" s="7" t="s">
        <v>20</v>
      </c>
      <c r="C91" s="7" t="s">
        <v>21</v>
      </c>
      <c r="D91" s="7" t="s">
        <v>973</v>
      </c>
      <c r="E91" s="8">
        <v>1137</v>
      </c>
      <c r="F91" s="8">
        <v>1224</v>
      </c>
      <c r="G91" s="8">
        <v>1339</v>
      </c>
      <c r="H91" s="8">
        <v>1472</v>
      </c>
      <c r="I91" s="8">
        <v>1426</v>
      </c>
      <c r="J91" s="8">
        <v>1218</v>
      </c>
      <c r="K91" s="8">
        <v>1097</v>
      </c>
      <c r="L91" s="8">
        <v>1085</v>
      </c>
      <c r="M91" s="8">
        <v>1027.7752214331451</v>
      </c>
      <c r="N91" s="8">
        <v>981.45902821941513</v>
      </c>
    </row>
    <row r="92" spans="1:14" x14ac:dyDescent="0.25">
      <c r="A92" s="6" t="s">
        <v>972</v>
      </c>
      <c r="B92" s="7" t="s">
        <v>20</v>
      </c>
      <c r="C92" s="7" t="s">
        <v>21</v>
      </c>
      <c r="D92" s="7" t="s">
        <v>971</v>
      </c>
      <c r="E92" s="8" t="s">
        <v>1483</v>
      </c>
      <c r="F92" s="8" t="s">
        <v>1483</v>
      </c>
      <c r="G92" s="8" t="s">
        <v>1483</v>
      </c>
      <c r="H92" s="8" t="s">
        <v>1483</v>
      </c>
      <c r="I92" s="8">
        <v>374</v>
      </c>
      <c r="J92" s="8">
        <v>689</v>
      </c>
      <c r="K92" s="8">
        <v>1077</v>
      </c>
      <c r="L92" s="8">
        <v>1696</v>
      </c>
      <c r="M92" s="8">
        <v>2327.825205337972</v>
      </c>
      <c r="N92" s="8">
        <v>2843.9743187459358</v>
      </c>
    </row>
    <row r="93" spans="1:14" x14ac:dyDescent="0.25">
      <c r="A93" s="6" t="s">
        <v>849</v>
      </c>
      <c r="B93" s="7" t="s">
        <v>20</v>
      </c>
      <c r="C93" s="7" t="s">
        <v>21</v>
      </c>
      <c r="D93" s="7" t="s">
        <v>970</v>
      </c>
      <c r="E93" s="8" t="s">
        <v>1483</v>
      </c>
      <c r="F93" s="8" t="s">
        <v>1483</v>
      </c>
      <c r="G93" s="8" t="s">
        <v>1483</v>
      </c>
      <c r="H93" s="8">
        <v>198</v>
      </c>
      <c r="I93" s="8">
        <v>328</v>
      </c>
      <c r="J93" s="8">
        <v>589</v>
      </c>
      <c r="K93" s="8">
        <v>929</v>
      </c>
      <c r="L93" s="8">
        <v>1485</v>
      </c>
      <c r="M93" s="8">
        <v>2016.6569</v>
      </c>
      <c r="N93" s="8">
        <v>2427.2484281818179</v>
      </c>
    </row>
    <row r="94" spans="1:14" x14ac:dyDescent="0.25">
      <c r="A94" s="6" t="s">
        <v>133</v>
      </c>
      <c r="B94" s="7" t="s">
        <v>20</v>
      </c>
      <c r="C94" s="7" t="s">
        <v>21</v>
      </c>
      <c r="D94" s="7" t="s">
        <v>969</v>
      </c>
      <c r="E94" s="8" t="s">
        <v>1483</v>
      </c>
      <c r="F94" s="8" t="s">
        <v>1483</v>
      </c>
      <c r="G94" s="8" t="s">
        <v>1483</v>
      </c>
      <c r="H94" s="8">
        <v>27</v>
      </c>
      <c r="I94" s="8">
        <v>46</v>
      </c>
      <c r="J94" s="8">
        <v>100</v>
      </c>
      <c r="K94" s="8">
        <v>148</v>
      </c>
      <c r="L94" s="8">
        <v>210</v>
      </c>
      <c r="M94" s="8">
        <v>317.19959800442058</v>
      </c>
      <c r="N94" s="8">
        <v>436.10805238705962</v>
      </c>
    </row>
    <row r="95" spans="1:14" x14ac:dyDescent="0.25">
      <c r="A95" s="6" t="s">
        <v>968</v>
      </c>
      <c r="B95" s="7" t="s">
        <v>20</v>
      </c>
      <c r="C95" s="7" t="s">
        <v>21</v>
      </c>
      <c r="D95" s="7" t="s">
        <v>967</v>
      </c>
      <c r="E95" s="8">
        <v>1749</v>
      </c>
      <c r="F95" s="8">
        <v>1614</v>
      </c>
      <c r="G95" s="8">
        <v>1632</v>
      </c>
      <c r="H95" s="8">
        <v>1707</v>
      </c>
      <c r="I95" s="8">
        <v>1734</v>
      </c>
      <c r="J95" s="8">
        <v>1553</v>
      </c>
      <c r="K95" s="8">
        <v>1175</v>
      </c>
      <c r="L95" s="8">
        <v>1047</v>
      </c>
      <c r="M95" s="8">
        <v>1001.5898402174099</v>
      </c>
      <c r="N95" s="8">
        <v>971.71970744002283</v>
      </c>
    </row>
    <row r="96" spans="1:14" x14ac:dyDescent="0.25">
      <c r="A96" s="6" t="s">
        <v>849</v>
      </c>
      <c r="B96" s="7" t="s">
        <v>20</v>
      </c>
      <c r="C96" s="7" t="s">
        <v>21</v>
      </c>
      <c r="D96" s="7" t="s">
        <v>966</v>
      </c>
      <c r="E96" s="8">
        <v>239</v>
      </c>
      <c r="F96" s="8">
        <v>266</v>
      </c>
      <c r="G96" s="8">
        <v>298</v>
      </c>
      <c r="H96" s="8">
        <v>427</v>
      </c>
      <c r="I96" s="8">
        <v>376</v>
      </c>
      <c r="J96" s="8">
        <v>349</v>
      </c>
      <c r="K96" s="8">
        <v>210</v>
      </c>
      <c r="L96" s="8">
        <v>159</v>
      </c>
      <c r="M96" s="8">
        <v>149.38959564327484</v>
      </c>
      <c r="N96" s="8">
        <v>142.5242788991585</v>
      </c>
    </row>
    <row r="97" spans="1:14" x14ac:dyDescent="0.25">
      <c r="A97" s="6" t="s">
        <v>133</v>
      </c>
      <c r="B97" s="7" t="s">
        <v>20</v>
      </c>
      <c r="C97" s="7" t="s">
        <v>21</v>
      </c>
      <c r="D97" s="7" t="s">
        <v>965</v>
      </c>
      <c r="E97" s="8">
        <v>1510</v>
      </c>
      <c r="F97" s="8">
        <v>1349</v>
      </c>
      <c r="G97" s="8">
        <v>1312</v>
      </c>
      <c r="H97" s="8">
        <v>1647</v>
      </c>
      <c r="I97" s="8">
        <v>1358</v>
      </c>
      <c r="J97" s="8">
        <v>1204</v>
      </c>
      <c r="K97" s="8">
        <v>966</v>
      </c>
      <c r="L97" s="8">
        <v>889</v>
      </c>
      <c r="M97" s="8">
        <v>833.08269661229849</v>
      </c>
      <c r="N97" s="8">
        <v>791.55048873396152</v>
      </c>
    </row>
    <row r="98" spans="1:14" x14ac:dyDescent="0.25">
      <c r="A98" s="6" t="s">
        <v>17</v>
      </c>
      <c r="B98" s="7"/>
      <c r="C98" s="7"/>
      <c r="D98" s="7"/>
      <c r="E98" s="8"/>
      <c r="F98" s="8"/>
      <c r="G98" s="8"/>
      <c r="H98" s="8"/>
      <c r="I98" s="8"/>
      <c r="J98" s="8"/>
      <c r="K98" s="8"/>
      <c r="L98" s="8"/>
      <c r="M98" s="8"/>
      <c r="N98" s="8"/>
    </row>
    <row r="99" spans="1:14" x14ac:dyDescent="0.25">
      <c r="A99" s="6" t="s">
        <v>964</v>
      </c>
      <c r="B99" s="7" t="s">
        <v>20</v>
      </c>
      <c r="C99" s="7" t="s">
        <v>21</v>
      </c>
      <c r="D99" s="7" t="s">
        <v>963</v>
      </c>
      <c r="E99" s="8">
        <v>9844</v>
      </c>
      <c r="F99" s="8">
        <v>10692</v>
      </c>
      <c r="G99" s="8">
        <v>12777</v>
      </c>
      <c r="H99" s="8">
        <v>14548</v>
      </c>
      <c r="I99" s="8">
        <v>15983</v>
      </c>
      <c r="J99" s="8">
        <v>17661</v>
      </c>
      <c r="K99" s="8">
        <v>20781</v>
      </c>
      <c r="L99" s="8">
        <v>25380</v>
      </c>
      <c r="M99" s="8">
        <v>30397.460309085487</v>
      </c>
      <c r="N99" s="8">
        <v>35228.98954954795</v>
      </c>
    </row>
    <row r="100" spans="1:14" x14ac:dyDescent="0.25">
      <c r="A100" s="6" t="s">
        <v>962</v>
      </c>
      <c r="B100" s="7" t="s">
        <v>20</v>
      </c>
      <c r="C100" s="7" t="s">
        <v>21</v>
      </c>
      <c r="D100" s="7" t="s">
        <v>961</v>
      </c>
      <c r="E100" s="8" t="s">
        <v>1483</v>
      </c>
      <c r="F100" s="8" t="s">
        <v>1483</v>
      </c>
      <c r="G100" s="8" t="s">
        <v>1483</v>
      </c>
      <c r="H100" s="8" t="s">
        <v>1483</v>
      </c>
      <c r="I100" s="8">
        <v>133</v>
      </c>
      <c r="J100" s="8">
        <v>500</v>
      </c>
      <c r="K100" s="8">
        <v>963</v>
      </c>
      <c r="L100" s="8">
        <v>1887</v>
      </c>
      <c r="M100" s="8">
        <v>2836.8950084555458</v>
      </c>
      <c r="N100" s="8">
        <v>3860.1775141827857</v>
      </c>
    </row>
    <row r="101" spans="1:14" x14ac:dyDescent="0.25">
      <c r="A101" s="6" t="s">
        <v>849</v>
      </c>
      <c r="B101" s="7" t="s">
        <v>20</v>
      </c>
      <c r="C101" s="7" t="s">
        <v>21</v>
      </c>
      <c r="D101" s="7" t="s">
        <v>960</v>
      </c>
      <c r="E101" s="8" t="s">
        <v>1483</v>
      </c>
      <c r="F101" s="8" t="s">
        <v>1483</v>
      </c>
      <c r="G101" s="8" t="s">
        <v>1483</v>
      </c>
      <c r="H101" s="8">
        <v>0</v>
      </c>
      <c r="I101" s="8">
        <v>133</v>
      </c>
      <c r="J101" s="8">
        <v>469</v>
      </c>
      <c r="K101" s="8">
        <v>869</v>
      </c>
      <c r="L101" s="8">
        <v>1492</v>
      </c>
      <c r="M101" s="8">
        <v>2134.8902772524325</v>
      </c>
      <c r="N101" s="8">
        <v>2759.5648479342904</v>
      </c>
    </row>
    <row r="102" spans="1:14" x14ac:dyDescent="0.25">
      <c r="A102" s="6" t="s">
        <v>133</v>
      </c>
      <c r="B102" s="7" t="s">
        <v>20</v>
      </c>
      <c r="C102" s="7" t="s">
        <v>21</v>
      </c>
      <c r="D102" s="7" t="s">
        <v>959</v>
      </c>
      <c r="E102" s="8" t="s">
        <v>1483</v>
      </c>
      <c r="F102" s="8" t="s">
        <v>1483</v>
      </c>
      <c r="G102" s="8" t="s">
        <v>1483</v>
      </c>
      <c r="H102" s="8">
        <v>0</v>
      </c>
      <c r="I102" s="8">
        <v>0</v>
      </c>
      <c r="J102" s="8">
        <v>30</v>
      </c>
      <c r="K102" s="8">
        <v>94</v>
      </c>
      <c r="L102" s="8">
        <v>395</v>
      </c>
      <c r="M102" s="8">
        <v>712.90314186654678</v>
      </c>
      <c r="N102" s="8">
        <v>1111.4772928958544</v>
      </c>
    </row>
    <row r="103" spans="1:14" x14ac:dyDescent="0.25">
      <c r="A103" s="6" t="s">
        <v>958</v>
      </c>
      <c r="B103" s="7" t="s">
        <v>20</v>
      </c>
      <c r="C103" s="7" t="s">
        <v>21</v>
      </c>
      <c r="D103" s="7" t="s">
        <v>957</v>
      </c>
      <c r="E103" s="8">
        <v>2025</v>
      </c>
      <c r="F103" s="8">
        <v>2998</v>
      </c>
      <c r="G103" s="8">
        <v>4190</v>
      </c>
      <c r="H103" s="8">
        <v>6023</v>
      </c>
      <c r="I103" s="8">
        <v>7977</v>
      </c>
      <c r="J103" s="8">
        <v>9744</v>
      </c>
      <c r="K103" s="8">
        <v>11670</v>
      </c>
      <c r="L103" s="8">
        <v>14351</v>
      </c>
      <c r="M103" s="8">
        <v>16858.91855060868</v>
      </c>
      <c r="N103" s="8">
        <v>18794.841945169683</v>
      </c>
    </row>
    <row r="104" spans="1:14" x14ac:dyDescent="0.25">
      <c r="A104" s="6" t="s">
        <v>849</v>
      </c>
      <c r="B104" s="7" t="s">
        <v>20</v>
      </c>
      <c r="C104" s="7" t="s">
        <v>21</v>
      </c>
      <c r="D104" s="7" t="s">
        <v>712</v>
      </c>
      <c r="E104" s="8">
        <v>1203</v>
      </c>
      <c r="F104" s="8">
        <v>1567</v>
      </c>
      <c r="G104" s="8">
        <v>2232</v>
      </c>
      <c r="H104" s="8">
        <v>3169</v>
      </c>
      <c r="I104" s="8">
        <v>4210</v>
      </c>
      <c r="J104" s="8">
        <v>5277</v>
      </c>
      <c r="K104" s="8">
        <v>6588</v>
      </c>
      <c r="L104" s="8">
        <v>8266</v>
      </c>
      <c r="M104" s="8">
        <v>9916.9914037802628</v>
      </c>
      <c r="N104" s="8">
        <v>11074.935771614242</v>
      </c>
    </row>
    <row r="105" spans="1:14" x14ac:dyDescent="0.25">
      <c r="A105" s="6" t="s">
        <v>133</v>
      </c>
      <c r="B105" s="7" t="s">
        <v>20</v>
      </c>
      <c r="C105" s="7" t="s">
        <v>21</v>
      </c>
      <c r="D105" s="7" t="s">
        <v>956</v>
      </c>
      <c r="E105" s="8">
        <v>822</v>
      </c>
      <c r="F105" s="8">
        <v>1430</v>
      </c>
      <c r="G105" s="8">
        <v>1957</v>
      </c>
      <c r="H105" s="8">
        <v>2854</v>
      </c>
      <c r="I105" s="8">
        <v>3767</v>
      </c>
      <c r="J105" s="8">
        <v>4467</v>
      </c>
      <c r="K105" s="8">
        <v>5082</v>
      </c>
      <c r="L105" s="8">
        <v>6085</v>
      </c>
      <c r="M105" s="8">
        <v>6952.3630096465813</v>
      </c>
      <c r="N105" s="8">
        <v>7652.1445212423623</v>
      </c>
    </row>
    <row r="106" spans="1:14" x14ac:dyDescent="0.25">
      <c r="A106" s="6" t="s">
        <v>955</v>
      </c>
      <c r="B106" s="7" t="s">
        <v>20</v>
      </c>
      <c r="C106" s="7" t="s">
        <v>21</v>
      </c>
      <c r="D106" s="7" t="s">
        <v>954</v>
      </c>
      <c r="E106" s="8" t="s">
        <v>1483</v>
      </c>
      <c r="F106" s="8">
        <v>332</v>
      </c>
      <c r="G106" s="8">
        <v>760</v>
      </c>
      <c r="H106" s="8">
        <v>1291</v>
      </c>
      <c r="I106" s="8">
        <v>1881</v>
      </c>
      <c r="J106" s="8">
        <v>2387</v>
      </c>
      <c r="K106" s="8">
        <v>2999</v>
      </c>
      <c r="L106" s="8">
        <v>3574</v>
      </c>
      <c r="M106" s="8">
        <v>4132.7084659386064</v>
      </c>
      <c r="N106" s="8">
        <v>4551.98865218627</v>
      </c>
    </row>
    <row r="107" spans="1:14" x14ac:dyDescent="0.25">
      <c r="A107" s="6" t="s">
        <v>849</v>
      </c>
      <c r="B107" s="7" t="s">
        <v>20</v>
      </c>
      <c r="C107" s="7" t="s">
        <v>21</v>
      </c>
      <c r="D107" s="7" t="s">
        <v>953</v>
      </c>
      <c r="E107" s="8" t="s">
        <v>1483</v>
      </c>
      <c r="F107" s="8">
        <v>297</v>
      </c>
      <c r="G107" s="8">
        <v>583</v>
      </c>
      <c r="H107" s="8">
        <v>813</v>
      </c>
      <c r="I107" s="8">
        <v>968</v>
      </c>
      <c r="J107" s="8">
        <v>1065</v>
      </c>
      <c r="K107" s="8">
        <v>1282</v>
      </c>
      <c r="L107" s="8">
        <v>1453</v>
      </c>
      <c r="M107" s="8">
        <v>1632.4855854545456</v>
      </c>
      <c r="N107" s="8">
        <v>1780.0128005585457</v>
      </c>
    </row>
    <row r="108" spans="1:14" x14ac:dyDescent="0.25">
      <c r="A108" s="6" t="s">
        <v>133</v>
      </c>
      <c r="B108" s="7" t="s">
        <v>20</v>
      </c>
      <c r="C108" s="7" t="s">
        <v>21</v>
      </c>
      <c r="D108" s="7" t="s">
        <v>952</v>
      </c>
      <c r="E108" s="8" t="s">
        <v>1483</v>
      </c>
      <c r="F108" s="8">
        <v>35</v>
      </c>
      <c r="G108" s="8">
        <v>176</v>
      </c>
      <c r="H108" s="8">
        <v>478</v>
      </c>
      <c r="I108" s="8">
        <v>913</v>
      </c>
      <c r="J108" s="8">
        <v>1322</v>
      </c>
      <c r="K108" s="8">
        <v>1717</v>
      </c>
      <c r="L108" s="8">
        <v>2121</v>
      </c>
      <c r="M108" s="8">
        <v>2502.4655841091126</v>
      </c>
      <c r="N108" s="8">
        <v>2776.3051859050465</v>
      </c>
    </row>
    <row r="109" spans="1:14" x14ac:dyDescent="0.25">
      <c r="A109" s="6" t="s">
        <v>951</v>
      </c>
      <c r="B109" s="7" t="s">
        <v>20</v>
      </c>
      <c r="C109" s="7" t="s">
        <v>21</v>
      </c>
      <c r="D109" s="7" t="s">
        <v>950</v>
      </c>
      <c r="E109" s="8">
        <v>2615</v>
      </c>
      <c r="F109" s="8">
        <v>3411</v>
      </c>
      <c r="G109" s="8">
        <v>4128</v>
      </c>
      <c r="H109" s="8">
        <v>4369</v>
      </c>
      <c r="I109" s="8">
        <v>3784</v>
      </c>
      <c r="J109" s="8">
        <v>3264</v>
      </c>
      <c r="K109" s="8">
        <v>3038</v>
      </c>
      <c r="L109" s="8">
        <v>2823</v>
      </c>
      <c r="M109" s="8">
        <v>2516.0226770798376</v>
      </c>
      <c r="N109" s="8">
        <v>2212.7408003026894</v>
      </c>
    </row>
    <row r="110" spans="1:14" x14ac:dyDescent="0.25">
      <c r="A110" s="6" t="s">
        <v>849</v>
      </c>
      <c r="B110" s="7" t="s">
        <v>20</v>
      </c>
      <c r="C110" s="7" t="s">
        <v>21</v>
      </c>
      <c r="D110" s="7" t="s">
        <v>949</v>
      </c>
      <c r="E110" s="8">
        <v>1129</v>
      </c>
      <c r="F110" s="8">
        <v>1555</v>
      </c>
      <c r="G110" s="8">
        <v>1821</v>
      </c>
      <c r="H110" s="8">
        <v>1747</v>
      </c>
      <c r="I110" s="8">
        <v>1390</v>
      </c>
      <c r="J110" s="8">
        <v>1051</v>
      </c>
      <c r="K110" s="8">
        <v>1020</v>
      </c>
      <c r="L110" s="8">
        <v>892</v>
      </c>
      <c r="M110" s="8">
        <v>732.65046250568821</v>
      </c>
      <c r="N110" s="8">
        <v>638.82957407528954</v>
      </c>
    </row>
    <row r="111" spans="1:14" x14ac:dyDescent="0.25">
      <c r="A111" s="6" t="s">
        <v>133</v>
      </c>
      <c r="B111" s="7" t="s">
        <v>20</v>
      </c>
      <c r="C111" s="7" t="s">
        <v>21</v>
      </c>
      <c r="D111" s="7" t="s">
        <v>948</v>
      </c>
      <c r="E111" s="8">
        <v>1486</v>
      </c>
      <c r="F111" s="8">
        <v>1856</v>
      </c>
      <c r="G111" s="8">
        <v>2307</v>
      </c>
      <c r="H111" s="8">
        <v>2622</v>
      </c>
      <c r="I111" s="8">
        <v>2394</v>
      </c>
      <c r="J111" s="8">
        <v>2214</v>
      </c>
      <c r="K111" s="8">
        <v>2018</v>
      </c>
      <c r="L111" s="8">
        <v>1931</v>
      </c>
      <c r="M111" s="8">
        <v>1766.6789436085833</v>
      </c>
      <c r="N111" s="8">
        <v>1552.5689554647877</v>
      </c>
    </row>
    <row r="112" spans="1:14" x14ac:dyDescent="0.25">
      <c r="A112" s="6" t="s">
        <v>947</v>
      </c>
      <c r="B112" s="7" t="s">
        <v>20</v>
      </c>
      <c r="C112" s="7" t="s">
        <v>21</v>
      </c>
      <c r="D112" s="7" t="s">
        <v>946</v>
      </c>
      <c r="E112" s="8" t="s">
        <v>1483</v>
      </c>
      <c r="F112" s="8" t="s">
        <v>1483</v>
      </c>
      <c r="G112" s="8" t="s">
        <v>1483</v>
      </c>
      <c r="H112" s="8" t="s">
        <v>1483</v>
      </c>
      <c r="I112" s="8" t="s">
        <v>1483</v>
      </c>
      <c r="J112" s="8" t="s">
        <v>1483</v>
      </c>
      <c r="K112" s="8">
        <v>327</v>
      </c>
      <c r="L112" s="8">
        <v>734</v>
      </c>
      <c r="M112" s="8">
        <v>1332.0872888867959</v>
      </c>
      <c r="N112" s="8">
        <v>2103.4452314798277</v>
      </c>
    </row>
    <row r="113" spans="1:14" x14ac:dyDescent="0.25">
      <c r="A113" s="6" t="s">
        <v>849</v>
      </c>
      <c r="B113" s="7" t="s">
        <v>20</v>
      </c>
      <c r="C113" s="7" t="s">
        <v>21</v>
      </c>
      <c r="D113" s="7" t="s">
        <v>945</v>
      </c>
      <c r="E113" s="8" t="s">
        <v>1483</v>
      </c>
      <c r="F113" s="8" t="s">
        <v>1483</v>
      </c>
      <c r="G113" s="8" t="s">
        <v>1483</v>
      </c>
      <c r="H113" s="8" t="s">
        <v>1483</v>
      </c>
      <c r="I113" s="8" t="s">
        <v>1483</v>
      </c>
      <c r="J113" s="8" t="s">
        <v>1483</v>
      </c>
      <c r="K113" s="8">
        <v>257</v>
      </c>
      <c r="L113" s="8">
        <v>534</v>
      </c>
      <c r="M113" s="8">
        <v>917.67533333333336</v>
      </c>
      <c r="N113" s="8">
        <v>1452.1864603923123</v>
      </c>
    </row>
    <row r="114" spans="1:14" x14ac:dyDescent="0.25">
      <c r="A114" s="6" t="s">
        <v>133</v>
      </c>
      <c r="B114" s="7" t="s">
        <v>20</v>
      </c>
      <c r="C114" s="7" t="s">
        <v>21</v>
      </c>
      <c r="D114" s="7" t="s">
        <v>944</v>
      </c>
      <c r="E114" s="8" t="s">
        <v>1483</v>
      </c>
      <c r="F114" s="8" t="s">
        <v>1483</v>
      </c>
      <c r="G114" s="8" t="s">
        <v>1483</v>
      </c>
      <c r="H114" s="8" t="s">
        <v>1483</v>
      </c>
      <c r="I114" s="8" t="s">
        <v>1483</v>
      </c>
      <c r="J114" s="8" t="s">
        <v>1483</v>
      </c>
      <c r="K114" s="8">
        <v>70</v>
      </c>
      <c r="L114" s="8">
        <v>200</v>
      </c>
      <c r="M114" s="8">
        <v>407.20917997662661</v>
      </c>
      <c r="N114" s="8">
        <v>707.02587967765453</v>
      </c>
    </row>
    <row r="115" spans="1:14" x14ac:dyDescent="0.25">
      <c r="A115" s="6" t="s">
        <v>943</v>
      </c>
      <c r="B115" s="7" t="s">
        <v>20</v>
      </c>
      <c r="C115" s="7" t="s">
        <v>21</v>
      </c>
      <c r="D115" s="7" t="s">
        <v>942</v>
      </c>
      <c r="E115" s="8" t="s">
        <v>1483</v>
      </c>
      <c r="F115" s="8" t="s">
        <v>1483</v>
      </c>
      <c r="G115" s="8" t="s">
        <v>1483</v>
      </c>
      <c r="H115" s="8" t="s">
        <v>1483</v>
      </c>
      <c r="I115" s="8" t="s">
        <v>1483</v>
      </c>
      <c r="J115" s="8" t="s">
        <v>1483</v>
      </c>
      <c r="K115" s="8">
        <v>287</v>
      </c>
      <c r="L115" s="8">
        <v>463</v>
      </c>
      <c r="M115" s="8">
        <v>745.37031707653603</v>
      </c>
      <c r="N115" s="8">
        <v>1071.6130167333529</v>
      </c>
    </row>
    <row r="116" spans="1:14" x14ac:dyDescent="0.25">
      <c r="A116" s="6" t="s">
        <v>849</v>
      </c>
      <c r="B116" s="7" t="s">
        <v>20</v>
      </c>
      <c r="C116" s="7" t="s">
        <v>21</v>
      </c>
      <c r="D116" s="7" t="s">
        <v>941</v>
      </c>
      <c r="E116" s="8" t="s">
        <v>1483</v>
      </c>
      <c r="F116" s="8" t="s">
        <v>1483</v>
      </c>
      <c r="G116" s="8" t="s">
        <v>1483</v>
      </c>
      <c r="H116" s="8" t="s">
        <v>1483</v>
      </c>
      <c r="I116" s="8" t="s">
        <v>1483</v>
      </c>
      <c r="J116" s="8" t="s">
        <v>1483</v>
      </c>
      <c r="K116" s="8">
        <v>241</v>
      </c>
      <c r="L116" s="8">
        <v>340</v>
      </c>
      <c r="M116" s="8">
        <v>499.35182677257632</v>
      </c>
      <c r="N116" s="8">
        <v>697.27330638115347</v>
      </c>
    </row>
    <row r="117" spans="1:14" x14ac:dyDescent="0.25">
      <c r="A117" s="6" t="s">
        <v>133</v>
      </c>
      <c r="B117" s="7" t="s">
        <v>20</v>
      </c>
      <c r="C117" s="7" t="s">
        <v>21</v>
      </c>
      <c r="D117" s="7" t="s">
        <v>940</v>
      </c>
      <c r="E117" s="8" t="s">
        <v>1483</v>
      </c>
      <c r="F117" s="8" t="s">
        <v>1483</v>
      </c>
      <c r="G117" s="8" t="s">
        <v>1483</v>
      </c>
      <c r="H117" s="8" t="s">
        <v>1483</v>
      </c>
      <c r="I117" s="8" t="s">
        <v>1483</v>
      </c>
      <c r="J117" s="8" t="s">
        <v>1483</v>
      </c>
      <c r="K117" s="8">
        <v>46</v>
      </c>
      <c r="L117" s="8">
        <v>123</v>
      </c>
      <c r="M117" s="8">
        <v>231.88024646264114</v>
      </c>
      <c r="N117" s="8">
        <v>339.78982746946599</v>
      </c>
    </row>
    <row r="118" spans="1:14" x14ac:dyDescent="0.25">
      <c r="A118" s="6" t="s">
        <v>939</v>
      </c>
      <c r="B118" s="7" t="s">
        <v>20</v>
      </c>
      <c r="C118" s="7" t="s">
        <v>21</v>
      </c>
      <c r="D118" s="7" t="s">
        <v>938</v>
      </c>
      <c r="E118" s="8" t="s">
        <v>1483</v>
      </c>
      <c r="F118" s="8" t="s">
        <v>1483</v>
      </c>
      <c r="G118" s="8" t="s">
        <v>1483</v>
      </c>
      <c r="H118" s="8" t="s">
        <v>1483</v>
      </c>
      <c r="I118" s="8" t="s">
        <v>1483</v>
      </c>
      <c r="J118" s="8" t="s">
        <v>1483</v>
      </c>
      <c r="K118" s="8">
        <v>549</v>
      </c>
      <c r="L118" s="8">
        <v>670</v>
      </c>
      <c r="M118" s="8">
        <v>996.82540656876654</v>
      </c>
      <c r="N118" s="8">
        <v>1489.7051750456865</v>
      </c>
    </row>
    <row r="119" spans="1:14" x14ac:dyDescent="0.25">
      <c r="A119" s="6" t="s">
        <v>849</v>
      </c>
      <c r="B119" s="7" t="s">
        <v>20</v>
      </c>
      <c r="C119" s="7" t="s">
        <v>21</v>
      </c>
      <c r="D119" s="7" t="s">
        <v>937</v>
      </c>
      <c r="E119" s="8" t="s">
        <v>1483</v>
      </c>
      <c r="F119" s="8" t="s">
        <v>1483</v>
      </c>
      <c r="G119" s="8" t="s">
        <v>1483</v>
      </c>
      <c r="H119" s="8" t="s">
        <v>1483</v>
      </c>
      <c r="I119" s="8" t="s">
        <v>1483</v>
      </c>
      <c r="J119" s="8" t="s">
        <v>1483</v>
      </c>
      <c r="K119" s="8">
        <v>418</v>
      </c>
      <c r="L119" s="8">
        <v>444</v>
      </c>
      <c r="M119" s="8">
        <v>660.52540753667938</v>
      </c>
      <c r="N119" s="8">
        <v>994.78579570568832</v>
      </c>
    </row>
    <row r="120" spans="1:14" x14ac:dyDescent="0.25">
      <c r="A120" s="6" t="s">
        <v>133</v>
      </c>
      <c r="B120" s="7" t="s">
        <v>20</v>
      </c>
      <c r="C120" s="7" t="s">
        <v>21</v>
      </c>
      <c r="D120" s="7" t="s">
        <v>936</v>
      </c>
      <c r="E120" s="8" t="s">
        <v>1483</v>
      </c>
      <c r="F120" s="8" t="s">
        <v>1483</v>
      </c>
      <c r="G120" s="8" t="s">
        <v>1483</v>
      </c>
      <c r="H120" s="8" t="s">
        <v>1483</v>
      </c>
      <c r="I120" s="8" t="s">
        <v>1483</v>
      </c>
      <c r="J120" s="8" t="s">
        <v>1483</v>
      </c>
      <c r="K120" s="8">
        <v>131</v>
      </c>
      <c r="L120" s="8">
        <v>226</v>
      </c>
      <c r="M120" s="8">
        <v>347.59602767266205</v>
      </c>
      <c r="N120" s="8">
        <v>487.80424285027919</v>
      </c>
    </row>
    <row r="121" spans="1:14" x14ac:dyDescent="0.25">
      <c r="A121" s="6" t="s">
        <v>935</v>
      </c>
      <c r="B121" s="7" t="s">
        <v>20</v>
      </c>
      <c r="C121" s="7" t="s">
        <v>21</v>
      </c>
      <c r="D121" s="7" t="s">
        <v>934</v>
      </c>
      <c r="E121" s="8">
        <v>3498</v>
      </c>
      <c r="F121" s="8">
        <v>2795</v>
      </c>
      <c r="G121" s="8">
        <v>2470</v>
      </c>
      <c r="H121" s="8">
        <v>2297</v>
      </c>
      <c r="I121" s="8">
        <v>1770</v>
      </c>
      <c r="J121" s="8">
        <v>887</v>
      </c>
      <c r="K121" s="8">
        <v>631</v>
      </c>
      <c r="L121" s="8">
        <v>502</v>
      </c>
      <c r="M121" s="8">
        <v>399.88247028449916</v>
      </c>
      <c r="N121" s="8">
        <v>310.34642941153328</v>
      </c>
    </row>
    <row r="122" spans="1:14" x14ac:dyDescent="0.25">
      <c r="A122" s="6" t="s">
        <v>849</v>
      </c>
      <c r="B122" s="7" t="s">
        <v>20</v>
      </c>
      <c r="C122" s="7" t="s">
        <v>21</v>
      </c>
      <c r="D122" s="7" t="s">
        <v>933</v>
      </c>
      <c r="E122" s="8">
        <v>1771</v>
      </c>
      <c r="F122" s="8">
        <v>810</v>
      </c>
      <c r="G122" s="8">
        <v>373</v>
      </c>
      <c r="H122" s="8">
        <v>119</v>
      </c>
      <c r="I122" s="8">
        <v>74</v>
      </c>
      <c r="J122" s="8">
        <v>50</v>
      </c>
      <c r="K122" s="8">
        <v>34</v>
      </c>
      <c r="L122" s="8">
        <v>23</v>
      </c>
      <c r="M122" s="8">
        <v>18.689404545454547</v>
      </c>
      <c r="N122" s="8">
        <v>11.89066925</v>
      </c>
    </row>
    <row r="123" spans="1:14" x14ac:dyDescent="0.25">
      <c r="A123" s="6" t="s">
        <v>133</v>
      </c>
      <c r="B123" s="7" t="s">
        <v>20</v>
      </c>
      <c r="C123" s="7" t="s">
        <v>21</v>
      </c>
      <c r="D123" s="7" t="s">
        <v>932</v>
      </c>
      <c r="E123" s="8">
        <v>1727</v>
      </c>
      <c r="F123" s="8">
        <v>1985</v>
      </c>
      <c r="G123" s="8">
        <v>2097</v>
      </c>
      <c r="H123" s="8">
        <v>2178</v>
      </c>
      <c r="I123" s="8">
        <v>1696</v>
      </c>
      <c r="J123" s="8">
        <v>837</v>
      </c>
      <c r="K123" s="8">
        <v>597</v>
      </c>
      <c r="L123" s="8">
        <v>480</v>
      </c>
      <c r="M123" s="8">
        <v>382.59550804820725</v>
      </c>
      <c r="N123" s="8">
        <v>300.26513539311122</v>
      </c>
    </row>
    <row r="124" spans="1:14" x14ac:dyDescent="0.25">
      <c r="A124" s="6" t="s">
        <v>931</v>
      </c>
      <c r="B124" s="7" t="s">
        <v>20</v>
      </c>
      <c r="C124" s="7" t="s">
        <v>21</v>
      </c>
      <c r="D124" s="7" t="s">
        <v>930</v>
      </c>
      <c r="E124" s="8">
        <v>590</v>
      </c>
      <c r="F124" s="8">
        <v>407</v>
      </c>
      <c r="G124" s="8">
        <v>821</v>
      </c>
      <c r="H124" s="8">
        <v>568</v>
      </c>
      <c r="I124" s="8">
        <v>438</v>
      </c>
      <c r="J124" s="8">
        <v>879</v>
      </c>
      <c r="K124" s="8">
        <v>317</v>
      </c>
      <c r="L124" s="8">
        <v>376</v>
      </c>
      <c r="M124" s="8">
        <v>394.80443975634466</v>
      </c>
      <c r="N124" s="8">
        <v>413.226364924162</v>
      </c>
    </row>
    <row r="125" spans="1:14" x14ac:dyDescent="0.25">
      <c r="A125" s="6" t="s">
        <v>849</v>
      </c>
      <c r="B125" s="7" t="s">
        <v>20</v>
      </c>
      <c r="C125" s="7" t="s">
        <v>21</v>
      </c>
      <c r="D125" s="7" t="s">
        <v>929</v>
      </c>
      <c r="E125" s="8">
        <v>228</v>
      </c>
      <c r="F125" s="8">
        <v>70</v>
      </c>
      <c r="G125" s="8">
        <v>83</v>
      </c>
      <c r="H125" s="8">
        <v>110</v>
      </c>
      <c r="I125" s="8">
        <v>156</v>
      </c>
      <c r="J125" s="8">
        <v>549</v>
      </c>
      <c r="K125" s="8">
        <v>145</v>
      </c>
      <c r="L125" s="8">
        <v>216</v>
      </c>
      <c r="M125" s="8">
        <v>214.34968000000001</v>
      </c>
      <c r="N125" s="8">
        <v>211.3723664</v>
      </c>
    </row>
    <row r="126" spans="1:14" x14ac:dyDescent="0.25">
      <c r="A126" s="6" t="s">
        <v>133</v>
      </c>
      <c r="B126" s="7" t="s">
        <v>20</v>
      </c>
      <c r="C126" s="7" t="s">
        <v>21</v>
      </c>
      <c r="D126" s="7" t="s">
        <v>928</v>
      </c>
      <c r="E126" s="8">
        <v>362</v>
      </c>
      <c r="F126" s="8">
        <v>1087</v>
      </c>
      <c r="G126" s="8">
        <v>738</v>
      </c>
      <c r="H126" s="8">
        <v>458</v>
      </c>
      <c r="I126" s="8">
        <v>283</v>
      </c>
      <c r="J126" s="8">
        <v>330</v>
      </c>
      <c r="K126" s="8">
        <v>171</v>
      </c>
      <c r="L126" s="8">
        <v>160</v>
      </c>
      <c r="M126" s="8">
        <v>148.22999999999999</v>
      </c>
      <c r="N126" s="8">
        <v>142.65719999999999</v>
      </c>
    </row>
    <row r="127" spans="1:14" x14ac:dyDescent="0.25">
      <c r="A127" s="6" t="s">
        <v>17</v>
      </c>
      <c r="B127" s="7"/>
      <c r="C127" s="7"/>
      <c r="D127" s="7"/>
      <c r="E127" s="8"/>
      <c r="F127" s="8"/>
      <c r="G127" s="8"/>
      <c r="H127" s="8"/>
      <c r="I127" s="8"/>
      <c r="J127" s="8"/>
      <c r="K127" s="8"/>
      <c r="L127" s="8"/>
      <c r="M127" s="8"/>
      <c r="N127" s="8"/>
    </row>
    <row r="128" spans="1:14" x14ac:dyDescent="0.25">
      <c r="A128" s="6" t="s">
        <v>927</v>
      </c>
      <c r="B128" s="7" t="s">
        <v>20</v>
      </c>
      <c r="C128" s="7" t="s">
        <v>21</v>
      </c>
      <c r="D128" s="7" t="s">
        <v>926</v>
      </c>
      <c r="E128" s="8">
        <v>2573</v>
      </c>
      <c r="F128" s="8">
        <v>2623</v>
      </c>
      <c r="G128" s="8">
        <v>3148</v>
      </c>
      <c r="H128" s="8">
        <v>3450</v>
      </c>
      <c r="I128" s="8">
        <v>3417</v>
      </c>
      <c r="J128" s="8">
        <v>3815</v>
      </c>
      <c r="K128" s="8">
        <v>4282</v>
      </c>
      <c r="L128" s="8">
        <v>4437</v>
      </c>
      <c r="M128" s="8">
        <v>4024.6943756465921</v>
      </c>
      <c r="N128" s="8">
        <v>3153.2182240862244</v>
      </c>
    </row>
    <row r="129" spans="1:14" x14ac:dyDescent="0.25">
      <c r="A129" s="6" t="s">
        <v>925</v>
      </c>
      <c r="B129" s="7" t="s">
        <v>20</v>
      </c>
      <c r="C129" s="7" t="s">
        <v>21</v>
      </c>
      <c r="D129" s="7" t="s">
        <v>924</v>
      </c>
      <c r="E129" s="8">
        <v>1215</v>
      </c>
      <c r="F129" s="8">
        <v>1327</v>
      </c>
      <c r="G129" s="8">
        <v>1639</v>
      </c>
      <c r="H129" s="8">
        <v>1819</v>
      </c>
      <c r="I129" s="8">
        <v>1783</v>
      </c>
      <c r="J129" s="8">
        <v>1973</v>
      </c>
      <c r="K129" s="8">
        <v>2184</v>
      </c>
      <c r="L129" s="8">
        <v>2325</v>
      </c>
      <c r="M129" s="8">
        <v>1924.9932439285246</v>
      </c>
      <c r="N129" s="8">
        <v>1309.1741508019802</v>
      </c>
    </row>
    <row r="130" spans="1:14" x14ac:dyDescent="0.25">
      <c r="A130" s="6" t="s">
        <v>849</v>
      </c>
      <c r="B130" s="7" t="s">
        <v>20</v>
      </c>
      <c r="C130" s="7" t="s">
        <v>21</v>
      </c>
      <c r="D130" s="7" t="s">
        <v>923</v>
      </c>
      <c r="E130" s="8">
        <v>700</v>
      </c>
      <c r="F130" s="8">
        <v>766</v>
      </c>
      <c r="G130" s="8">
        <v>1008</v>
      </c>
      <c r="H130" s="8">
        <v>1148</v>
      </c>
      <c r="I130" s="8">
        <v>1132</v>
      </c>
      <c r="J130" s="8">
        <v>1292</v>
      </c>
      <c r="K130" s="8">
        <v>1557</v>
      </c>
      <c r="L130" s="8">
        <v>1633</v>
      </c>
      <c r="M130" s="8">
        <v>1238.567116610576</v>
      </c>
      <c r="N130" s="8">
        <v>775.1958664469588</v>
      </c>
    </row>
    <row r="131" spans="1:14" x14ac:dyDescent="0.25">
      <c r="A131" s="6" t="s">
        <v>133</v>
      </c>
      <c r="B131" s="7" t="s">
        <v>20</v>
      </c>
      <c r="C131" s="7" t="s">
        <v>21</v>
      </c>
      <c r="D131" s="7" t="s">
        <v>922</v>
      </c>
      <c r="E131" s="8">
        <v>515</v>
      </c>
      <c r="F131" s="8">
        <v>562</v>
      </c>
      <c r="G131" s="8">
        <v>631</v>
      </c>
      <c r="H131" s="8">
        <v>672</v>
      </c>
      <c r="I131" s="8">
        <v>651</v>
      </c>
      <c r="J131" s="8">
        <v>681</v>
      </c>
      <c r="K131" s="8">
        <v>668</v>
      </c>
      <c r="L131" s="8">
        <v>693</v>
      </c>
      <c r="M131" s="8">
        <v>650.63963975606282</v>
      </c>
      <c r="N131" s="8">
        <v>514.04305523777236</v>
      </c>
    </row>
    <row r="132" spans="1:14" x14ac:dyDescent="0.25">
      <c r="A132" s="6" t="s">
        <v>921</v>
      </c>
      <c r="B132" s="7" t="s">
        <v>20</v>
      </c>
      <c r="C132" s="7" t="s">
        <v>21</v>
      </c>
      <c r="D132" s="7" t="s">
        <v>920</v>
      </c>
      <c r="E132" s="8">
        <v>663</v>
      </c>
      <c r="F132" s="8">
        <v>819</v>
      </c>
      <c r="G132" s="8">
        <v>1093</v>
      </c>
      <c r="H132" s="8">
        <v>1237</v>
      </c>
      <c r="I132" s="8">
        <v>1322</v>
      </c>
      <c r="J132" s="8">
        <v>1582</v>
      </c>
      <c r="K132" s="8">
        <v>1817</v>
      </c>
      <c r="L132" s="8">
        <v>1902</v>
      </c>
      <c r="M132" s="8">
        <v>1859.6777139357507</v>
      </c>
      <c r="N132" s="8">
        <v>1501.6413868646832</v>
      </c>
    </row>
    <row r="133" spans="1:14" x14ac:dyDescent="0.25">
      <c r="A133" s="6" t="s">
        <v>849</v>
      </c>
      <c r="B133" s="7" t="s">
        <v>20</v>
      </c>
      <c r="C133" s="7" t="s">
        <v>21</v>
      </c>
      <c r="D133" s="7" t="s">
        <v>919</v>
      </c>
      <c r="E133" s="8">
        <v>598</v>
      </c>
      <c r="F133" s="8">
        <v>714</v>
      </c>
      <c r="G133" s="8">
        <v>966</v>
      </c>
      <c r="H133" s="8">
        <v>1055</v>
      </c>
      <c r="I133" s="8">
        <v>1104</v>
      </c>
      <c r="J133" s="8">
        <v>1326</v>
      </c>
      <c r="K133" s="8">
        <v>1511</v>
      </c>
      <c r="L133" s="8">
        <v>1536</v>
      </c>
      <c r="M133" s="8">
        <v>1448.7483342525186</v>
      </c>
      <c r="N133" s="8">
        <v>1097.1583204595927</v>
      </c>
    </row>
    <row r="134" spans="1:14" x14ac:dyDescent="0.25">
      <c r="A134" s="6" t="s">
        <v>133</v>
      </c>
      <c r="B134" s="7" t="s">
        <v>20</v>
      </c>
      <c r="C134" s="7" t="s">
        <v>21</v>
      </c>
      <c r="D134" s="7" t="s">
        <v>918</v>
      </c>
      <c r="E134" s="8">
        <v>65</v>
      </c>
      <c r="F134" s="8">
        <v>105</v>
      </c>
      <c r="G134" s="8">
        <v>137</v>
      </c>
      <c r="H134" s="8">
        <v>181</v>
      </c>
      <c r="I134" s="8">
        <v>218</v>
      </c>
      <c r="J134" s="8">
        <v>255</v>
      </c>
      <c r="K134" s="8">
        <v>307</v>
      </c>
      <c r="L134" s="8">
        <v>366</v>
      </c>
      <c r="M134" s="8">
        <v>403.87737607156464</v>
      </c>
      <c r="N134" s="8">
        <v>352.01678264333964</v>
      </c>
    </row>
    <row r="135" spans="1:14" x14ac:dyDescent="0.25">
      <c r="A135" s="6" t="s">
        <v>917</v>
      </c>
      <c r="B135" s="7" t="s">
        <v>20</v>
      </c>
      <c r="C135" s="7" t="s">
        <v>21</v>
      </c>
      <c r="D135" s="7" t="s">
        <v>916</v>
      </c>
      <c r="E135" s="8">
        <v>149</v>
      </c>
      <c r="F135" s="8">
        <v>476</v>
      </c>
      <c r="G135" s="8">
        <v>416</v>
      </c>
      <c r="H135" s="8">
        <v>394</v>
      </c>
      <c r="I135" s="8">
        <v>312</v>
      </c>
      <c r="J135" s="8">
        <v>260</v>
      </c>
      <c r="K135" s="8">
        <v>281</v>
      </c>
      <c r="L135" s="8">
        <v>209</v>
      </c>
      <c r="M135" s="8">
        <v>195.45612627585439</v>
      </c>
      <c r="N135" s="8">
        <v>190.21985423826865</v>
      </c>
    </row>
    <row r="136" spans="1:14" x14ac:dyDescent="0.25">
      <c r="A136" s="6" t="s">
        <v>849</v>
      </c>
      <c r="B136" s="7" t="s">
        <v>20</v>
      </c>
      <c r="C136" s="7" t="s">
        <v>21</v>
      </c>
      <c r="D136" s="7" t="s">
        <v>915</v>
      </c>
      <c r="E136" s="8">
        <v>85</v>
      </c>
      <c r="F136" s="8">
        <v>74</v>
      </c>
      <c r="G136" s="8">
        <v>169</v>
      </c>
      <c r="H136" s="8">
        <v>163</v>
      </c>
      <c r="I136" s="8">
        <v>110</v>
      </c>
      <c r="J136" s="8">
        <v>79</v>
      </c>
      <c r="K136" s="8">
        <v>75</v>
      </c>
      <c r="L136" s="8">
        <v>54</v>
      </c>
      <c r="M136" s="8">
        <v>48.129403798204272</v>
      </c>
      <c r="N136" s="8">
        <v>47.177923329597569</v>
      </c>
    </row>
    <row r="137" spans="1:14" x14ac:dyDescent="0.25">
      <c r="A137" s="6" t="s">
        <v>133</v>
      </c>
      <c r="B137" s="7" t="s">
        <v>20</v>
      </c>
      <c r="C137" s="7" t="s">
        <v>21</v>
      </c>
      <c r="D137" s="7" t="s">
        <v>914</v>
      </c>
      <c r="E137" s="8">
        <v>64</v>
      </c>
      <c r="F137" s="8">
        <v>62</v>
      </c>
      <c r="G137" s="8">
        <v>247</v>
      </c>
      <c r="H137" s="8">
        <v>232</v>
      </c>
      <c r="I137" s="8">
        <v>202</v>
      </c>
      <c r="J137" s="8">
        <v>182</v>
      </c>
      <c r="K137" s="8">
        <v>165</v>
      </c>
      <c r="L137" s="8">
        <v>155</v>
      </c>
      <c r="M137" s="8">
        <v>142.90533353900125</v>
      </c>
      <c r="N137" s="8">
        <v>136.17094257173878</v>
      </c>
    </row>
    <row r="138" spans="1:14" x14ac:dyDescent="0.25">
      <c r="A138" s="6" t="s">
        <v>17</v>
      </c>
      <c r="B138" s="7"/>
      <c r="C138" s="7"/>
      <c r="D138" s="7"/>
      <c r="E138" s="8"/>
      <c r="F138" s="8"/>
      <c r="G138" s="8"/>
      <c r="H138" s="8"/>
      <c r="I138" s="8"/>
      <c r="J138" s="8"/>
      <c r="K138" s="8"/>
      <c r="L138" s="8"/>
      <c r="M138" s="8"/>
      <c r="N138" s="8"/>
    </row>
    <row r="139" spans="1:14" x14ac:dyDescent="0.25">
      <c r="A139" s="6" t="s">
        <v>913</v>
      </c>
      <c r="B139" s="7" t="s">
        <v>20</v>
      </c>
      <c r="C139" s="7" t="s">
        <v>21</v>
      </c>
      <c r="D139" s="7" t="s">
        <v>912</v>
      </c>
      <c r="E139" s="8">
        <v>5816</v>
      </c>
      <c r="F139" s="8">
        <v>5191</v>
      </c>
      <c r="G139" s="8">
        <v>4878</v>
      </c>
      <c r="H139" s="8">
        <v>4461</v>
      </c>
      <c r="I139" s="8">
        <v>3887</v>
      </c>
      <c r="J139" s="8">
        <v>3671</v>
      </c>
      <c r="K139" s="8">
        <v>3562</v>
      </c>
      <c r="L139" s="8">
        <v>3778</v>
      </c>
      <c r="M139" s="8">
        <v>3575.0239291526286</v>
      </c>
      <c r="N139" s="8">
        <v>2940.0219470050988</v>
      </c>
    </row>
    <row r="140" spans="1:14" x14ac:dyDescent="0.25">
      <c r="A140" s="6" t="s">
        <v>911</v>
      </c>
      <c r="B140" s="7" t="s">
        <v>20</v>
      </c>
      <c r="C140" s="7" t="s">
        <v>21</v>
      </c>
      <c r="D140" s="7" t="s">
        <v>910</v>
      </c>
      <c r="E140" s="8">
        <v>2477</v>
      </c>
      <c r="F140" s="8">
        <v>2313</v>
      </c>
      <c r="G140" s="8">
        <v>2345</v>
      </c>
      <c r="H140" s="8">
        <v>2438</v>
      </c>
      <c r="I140" s="8">
        <v>2473</v>
      </c>
      <c r="J140" s="8">
        <v>2365</v>
      </c>
      <c r="K140" s="8">
        <v>2373</v>
      </c>
      <c r="L140" s="8">
        <v>2633</v>
      </c>
      <c r="M140" s="8">
        <v>2458.1551737420291</v>
      </c>
      <c r="N140" s="8">
        <v>1725.9712320664928</v>
      </c>
    </row>
    <row r="141" spans="1:14" x14ac:dyDescent="0.25">
      <c r="A141" s="6" t="s">
        <v>849</v>
      </c>
      <c r="B141" s="7" t="s">
        <v>20</v>
      </c>
      <c r="C141" s="7" t="s">
        <v>21</v>
      </c>
      <c r="D141" s="7" t="s">
        <v>909</v>
      </c>
      <c r="E141" s="8">
        <v>2477</v>
      </c>
      <c r="F141" s="8">
        <v>2313</v>
      </c>
      <c r="G141" s="8">
        <v>2345</v>
      </c>
      <c r="H141" s="8">
        <v>2438</v>
      </c>
      <c r="I141" s="8">
        <v>2473</v>
      </c>
      <c r="J141" s="8">
        <v>2365</v>
      </c>
      <c r="K141" s="8">
        <v>2373</v>
      </c>
      <c r="L141" s="8">
        <v>2633</v>
      </c>
      <c r="M141" s="8">
        <v>2291.7489999999998</v>
      </c>
      <c r="N141" s="8">
        <v>998.317453</v>
      </c>
    </row>
    <row r="142" spans="1:14" x14ac:dyDescent="0.25">
      <c r="A142" s="6" t="s">
        <v>133</v>
      </c>
      <c r="B142" s="7" t="s">
        <v>20</v>
      </c>
      <c r="C142" s="7" t="s">
        <v>21</v>
      </c>
      <c r="D142" s="7" t="s">
        <v>908</v>
      </c>
      <c r="E142" s="8">
        <v>0</v>
      </c>
      <c r="F142" s="8">
        <v>0</v>
      </c>
      <c r="G142" s="8">
        <v>0</v>
      </c>
      <c r="H142" s="8">
        <v>0</v>
      </c>
      <c r="I142" s="8">
        <v>0</v>
      </c>
      <c r="J142" s="8">
        <v>0</v>
      </c>
      <c r="K142" s="8">
        <v>0</v>
      </c>
      <c r="L142" s="8">
        <v>0</v>
      </c>
      <c r="M142" s="8" t="s">
        <v>1483</v>
      </c>
      <c r="N142" s="8" t="s">
        <v>1483</v>
      </c>
    </row>
    <row r="143" spans="1:14" x14ac:dyDescent="0.25">
      <c r="A143" s="6" t="s">
        <v>907</v>
      </c>
      <c r="B143" s="7" t="s">
        <v>20</v>
      </c>
      <c r="C143" s="7" t="s">
        <v>21</v>
      </c>
      <c r="D143" s="7" t="s">
        <v>906</v>
      </c>
      <c r="E143" s="8">
        <v>1470</v>
      </c>
      <c r="F143" s="8">
        <v>1353</v>
      </c>
      <c r="G143" s="8">
        <v>1186</v>
      </c>
      <c r="H143" s="8">
        <v>1118</v>
      </c>
      <c r="I143" s="8">
        <v>1414</v>
      </c>
      <c r="J143" s="8">
        <v>1306</v>
      </c>
      <c r="K143" s="8">
        <v>1189</v>
      </c>
      <c r="L143" s="8">
        <v>1145</v>
      </c>
      <c r="M143" s="8">
        <v>1099.2823135060758</v>
      </c>
      <c r="N143" s="8">
        <v>1053.6937794932032</v>
      </c>
    </row>
    <row r="144" spans="1:14" x14ac:dyDescent="0.25">
      <c r="A144" s="6" t="s">
        <v>849</v>
      </c>
      <c r="B144" s="7" t="s">
        <v>20</v>
      </c>
      <c r="C144" s="7" t="s">
        <v>21</v>
      </c>
      <c r="D144" s="7" t="s">
        <v>905</v>
      </c>
      <c r="E144" s="8">
        <v>417</v>
      </c>
      <c r="F144" s="8">
        <v>380</v>
      </c>
      <c r="G144" s="8">
        <v>600</v>
      </c>
      <c r="H144" s="8">
        <v>754</v>
      </c>
      <c r="I144" s="8">
        <v>569</v>
      </c>
      <c r="J144" s="8">
        <v>541</v>
      </c>
      <c r="K144" s="8">
        <v>493</v>
      </c>
      <c r="L144" s="8">
        <v>542</v>
      </c>
      <c r="M144" s="8">
        <v>545.0711037765451</v>
      </c>
      <c r="N144" s="8">
        <v>533.23228221149748</v>
      </c>
    </row>
    <row r="145" spans="1:14" x14ac:dyDescent="0.25">
      <c r="A145" s="6" t="s">
        <v>133</v>
      </c>
      <c r="B145" s="7" t="s">
        <v>20</v>
      </c>
      <c r="C145" s="7" t="s">
        <v>21</v>
      </c>
      <c r="D145" s="7" t="s">
        <v>904</v>
      </c>
      <c r="E145" s="8">
        <v>1053</v>
      </c>
      <c r="F145" s="8">
        <v>974</v>
      </c>
      <c r="G145" s="8">
        <v>794</v>
      </c>
      <c r="H145" s="8">
        <v>927</v>
      </c>
      <c r="I145" s="8">
        <v>845</v>
      </c>
      <c r="J145" s="8">
        <v>765</v>
      </c>
      <c r="K145" s="8">
        <v>696</v>
      </c>
      <c r="L145" s="8">
        <v>603</v>
      </c>
      <c r="M145" s="8">
        <v>567.59560010859093</v>
      </c>
      <c r="N145" s="8">
        <v>530.09520788606631</v>
      </c>
    </row>
    <row r="146" spans="1:14" x14ac:dyDescent="0.25">
      <c r="A146" s="6" t="s">
        <v>17</v>
      </c>
      <c r="B146" s="7"/>
      <c r="C146" s="7"/>
      <c r="D146" s="7"/>
      <c r="E146" s="8"/>
      <c r="F146" s="8"/>
      <c r="G146" s="8"/>
      <c r="H146" s="8"/>
      <c r="I146" s="8"/>
      <c r="J146" s="8"/>
      <c r="K146" s="8"/>
      <c r="L146" s="8"/>
      <c r="M146" s="8"/>
      <c r="N146" s="8"/>
    </row>
    <row r="147" spans="1:14" x14ac:dyDescent="0.25">
      <c r="A147" s="6" t="s">
        <v>903</v>
      </c>
      <c r="B147" s="7"/>
      <c r="C147" s="7"/>
      <c r="D147" s="7"/>
      <c r="E147" s="8"/>
      <c r="F147" s="8"/>
      <c r="G147" s="8"/>
      <c r="H147" s="8"/>
      <c r="I147" s="8"/>
      <c r="J147" s="8"/>
      <c r="K147" s="8"/>
      <c r="L147" s="8"/>
      <c r="M147" s="8"/>
      <c r="N147" s="8"/>
    </row>
    <row r="148" spans="1:14" x14ac:dyDescent="0.25">
      <c r="A148" s="6" t="s">
        <v>902</v>
      </c>
      <c r="B148" s="7" t="s">
        <v>20</v>
      </c>
      <c r="C148" s="7" t="s">
        <v>21</v>
      </c>
      <c r="D148" s="7" t="s">
        <v>901</v>
      </c>
      <c r="E148" s="8">
        <v>2646</v>
      </c>
      <c r="F148" s="8">
        <v>2997</v>
      </c>
      <c r="G148" s="8">
        <v>3046</v>
      </c>
      <c r="H148" s="8">
        <v>3972</v>
      </c>
      <c r="I148" s="8">
        <v>4300</v>
      </c>
      <c r="J148" s="8">
        <v>6350</v>
      </c>
      <c r="K148" s="8">
        <v>7707</v>
      </c>
      <c r="L148" s="8">
        <v>8928</v>
      </c>
      <c r="M148" s="8">
        <v>9992.7722500473665</v>
      </c>
      <c r="N148" s="8">
        <v>11085.430399214489</v>
      </c>
    </row>
    <row r="149" spans="1:14" x14ac:dyDescent="0.25">
      <c r="A149" s="6" t="s">
        <v>900</v>
      </c>
      <c r="B149" s="7" t="s">
        <v>20</v>
      </c>
      <c r="C149" s="7" t="s">
        <v>21</v>
      </c>
      <c r="D149" s="7" t="s">
        <v>899</v>
      </c>
      <c r="E149" s="8" t="s">
        <v>1483</v>
      </c>
      <c r="F149" s="8" t="s">
        <v>1483</v>
      </c>
      <c r="G149" s="8" t="s">
        <v>1483</v>
      </c>
      <c r="H149" s="8" t="s">
        <v>1483</v>
      </c>
      <c r="I149" s="8">
        <v>3937</v>
      </c>
      <c r="J149" s="8">
        <v>4688</v>
      </c>
      <c r="K149" s="8">
        <v>5267</v>
      </c>
      <c r="L149" s="8">
        <v>5634</v>
      </c>
      <c r="M149" s="8">
        <v>6153.7767693431406</v>
      </c>
      <c r="N149" s="8">
        <v>6718.0171827285258</v>
      </c>
    </row>
    <row r="150" spans="1:14" x14ac:dyDescent="0.25">
      <c r="A150" s="6" t="s">
        <v>849</v>
      </c>
      <c r="B150" s="7" t="s">
        <v>20</v>
      </c>
      <c r="C150" s="7" t="s">
        <v>21</v>
      </c>
      <c r="D150" s="7" t="s">
        <v>898</v>
      </c>
      <c r="E150" s="8" t="s">
        <v>1483</v>
      </c>
      <c r="F150" s="8" t="s">
        <v>1483</v>
      </c>
      <c r="G150" s="8" t="s">
        <v>1483</v>
      </c>
      <c r="H150" s="8">
        <v>1730</v>
      </c>
      <c r="I150" s="8">
        <v>2036</v>
      </c>
      <c r="J150" s="8">
        <v>2458</v>
      </c>
      <c r="K150" s="8">
        <v>2738</v>
      </c>
      <c r="L150" s="8">
        <v>2891</v>
      </c>
      <c r="M150" s="8">
        <v>3141.8344069733043</v>
      </c>
      <c r="N150" s="8">
        <v>3428.1392224300002</v>
      </c>
    </row>
    <row r="151" spans="1:14" x14ac:dyDescent="0.25">
      <c r="A151" s="6" t="s">
        <v>133</v>
      </c>
      <c r="B151" s="7" t="s">
        <v>20</v>
      </c>
      <c r="C151" s="7" t="s">
        <v>21</v>
      </c>
      <c r="D151" s="7" t="s">
        <v>897</v>
      </c>
      <c r="E151" s="8" t="s">
        <v>1483</v>
      </c>
      <c r="F151" s="8" t="s">
        <v>1483</v>
      </c>
      <c r="G151" s="8" t="s">
        <v>1483</v>
      </c>
      <c r="H151" s="8">
        <v>1893</v>
      </c>
      <c r="I151" s="8">
        <v>1901</v>
      </c>
      <c r="J151" s="8">
        <v>2230</v>
      </c>
      <c r="K151" s="8">
        <v>2529</v>
      </c>
      <c r="L151" s="8">
        <v>2743</v>
      </c>
      <c r="M151" s="8">
        <v>3010.1240180179907</v>
      </c>
      <c r="N151" s="8">
        <v>3292.6503288017102</v>
      </c>
    </row>
    <row r="152" spans="1:14" x14ac:dyDescent="0.25">
      <c r="A152" s="6" t="s">
        <v>896</v>
      </c>
      <c r="B152" s="7" t="s">
        <v>20</v>
      </c>
      <c r="C152" s="7" t="s">
        <v>21</v>
      </c>
      <c r="D152" s="7" t="s">
        <v>895</v>
      </c>
      <c r="E152" s="8" t="s">
        <v>1483</v>
      </c>
      <c r="F152" s="8" t="s">
        <v>1483</v>
      </c>
      <c r="G152" s="8" t="s">
        <v>1483</v>
      </c>
      <c r="H152" s="8" t="s">
        <v>1483</v>
      </c>
      <c r="I152" s="8">
        <v>31</v>
      </c>
      <c r="J152" s="8">
        <v>1306</v>
      </c>
      <c r="K152" s="8">
        <v>1496</v>
      </c>
      <c r="L152" s="8">
        <v>1751</v>
      </c>
      <c r="M152" s="8">
        <v>2012.9458142084216</v>
      </c>
      <c r="N152" s="8">
        <v>2254.9132320715867</v>
      </c>
    </row>
    <row r="153" spans="1:14" x14ac:dyDescent="0.25">
      <c r="A153" s="6" t="s">
        <v>849</v>
      </c>
      <c r="B153" s="7" t="s">
        <v>20</v>
      </c>
      <c r="C153" s="7" t="s">
        <v>21</v>
      </c>
      <c r="D153" s="7" t="s">
        <v>894</v>
      </c>
      <c r="E153" s="8" t="s">
        <v>1483</v>
      </c>
      <c r="F153" s="8" t="s">
        <v>1483</v>
      </c>
      <c r="G153" s="8" t="s">
        <v>1483</v>
      </c>
      <c r="H153" s="8">
        <v>0</v>
      </c>
      <c r="I153" s="8">
        <v>31</v>
      </c>
      <c r="J153" s="8">
        <v>1066</v>
      </c>
      <c r="K153" s="8">
        <v>1213</v>
      </c>
      <c r="L153" s="8">
        <v>1393</v>
      </c>
      <c r="M153" s="8">
        <v>1587.9501063799999</v>
      </c>
      <c r="N153" s="8">
        <v>1764.9308278593999</v>
      </c>
    </row>
    <row r="154" spans="1:14" x14ac:dyDescent="0.25">
      <c r="A154" s="6" t="s">
        <v>133</v>
      </c>
      <c r="B154" s="7" t="s">
        <v>20</v>
      </c>
      <c r="C154" s="7" t="s">
        <v>21</v>
      </c>
      <c r="D154" s="7" t="s">
        <v>893</v>
      </c>
      <c r="E154" s="8" t="s">
        <v>1483</v>
      </c>
      <c r="F154" s="8" t="s">
        <v>1483</v>
      </c>
      <c r="G154" s="8" t="s">
        <v>1483</v>
      </c>
      <c r="H154" s="8">
        <v>0</v>
      </c>
      <c r="I154" s="8">
        <v>0</v>
      </c>
      <c r="J154" s="8">
        <v>240</v>
      </c>
      <c r="K154" s="8">
        <v>284</v>
      </c>
      <c r="L154" s="8">
        <v>358</v>
      </c>
      <c r="M154" s="8">
        <v>430.01230388869288</v>
      </c>
      <c r="N154" s="8">
        <v>494.97569228799205</v>
      </c>
    </row>
    <row r="155" spans="1:14" x14ac:dyDescent="0.25">
      <c r="A155" s="6" t="s">
        <v>892</v>
      </c>
      <c r="B155" s="7" t="s">
        <v>20</v>
      </c>
      <c r="C155" s="7" t="s">
        <v>21</v>
      </c>
      <c r="D155" s="7" t="s">
        <v>891</v>
      </c>
      <c r="E155" s="8" t="s">
        <v>1483</v>
      </c>
      <c r="F155" s="8" t="s">
        <v>1483</v>
      </c>
      <c r="G155" s="8" t="s">
        <v>1483</v>
      </c>
      <c r="H155" s="8" t="s">
        <v>1483</v>
      </c>
      <c r="I155" s="8" t="s">
        <v>1483</v>
      </c>
      <c r="J155" s="8" t="s">
        <v>1483</v>
      </c>
      <c r="K155" s="8">
        <v>564</v>
      </c>
      <c r="L155" s="8">
        <v>1146</v>
      </c>
      <c r="M155" s="8">
        <v>1391.2654420151403</v>
      </c>
      <c r="N155" s="8">
        <v>1642.1057623197821</v>
      </c>
    </row>
    <row r="156" spans="1:14" x14ac:dyDescent="0.25">
      <c r="A156" s="6" t="s">
        <v>849</v>
      </c>
      <c r="B156" s="7" t="s">
        <v>20</v>
      </c>
      <c r="C156" s="7" t="s">
        <v>21</v>
      </c>
      <c r="D156" s="7" t="s">
        <v>890</v>
      </c>
      <c r="E156" s="8" t="s">
        <v>1483</v>
      </c>
      <c r="F156" s="8" t="s">
        <v>1483</v>
      </c>
      <c r="G156" s="8" t="s">
        <v>1483</v>
      </c>
      <c r="H156" s="8" t="s">
        <v>1483</v>
      </c>
      <c r="I156" s="8" t="s">
        <v>1483</v>
      </c>
      <c r="J156" s="8" t="s">
        <v>1483</v>
      </c>
      <c r="K156" s="8">
        <v>442</v>
      </c>
      <c r="L156" s="8">
        <v>897</v>
      </c>
      <c r="M156" s="8">
        <v>1055.749714</v>
      </c>
      <c r="N156" s="8">
        <v>1266.1533426200001</v>
      </c>
    </row>
    <row r="157" spans="1:14" x14ac:dyDescent="0.25">
      <c r="A157" s="6" t="s">
        <v>133</v>
      </c>
      <c r="B157" s="7" t="s">
        <v>20</v>
      </c>
      <c r="C157" s="7" t="s">
        <v>21</v>
      </c>
      <c r="D157" s="7" t="s">
        <v>889</v>
      </c>
      <c r="E157" s="8" t="s">
        <v>1483</v>
      </c>
      <c r="F157" s="8" t="s">
        <v>1483</v>
      </c>
      <c r="G157" s="8" t="s">
        <v>1483</v>
      </c>
      <c r="H157" s="8" t="s">
        <v>1483</v>
      </c>
      <c r="I157" s="8" t="s">
        <v>1483</v>
      </c>
      <c r="J157" s="8" t="s">
        <v>1483</v>
      </c>
      <c r="K157" s="8">
        <v>122</v>
      </c>
      <c r="L157" s="8">
        <v>249</v>
      </c>
      <c r="M157" s="8">
        <v>303.63616372946149</v>
      </c>
      <c r="N157" s="8">
        <v>372.46096679106398</v>
      </c>
    </row>
    <row r="158" spans="1:14" x14ac:dyDescent="0.25">
      <c r="A158" s="6" t="s">
        <v>888</v>
      </c>
      <c r="B158" s="7" t="s">
        <v>20</v>
      </c>
      <c r="C158" s="7" t="s">
        <v>21</v>
      </c>
      <c r="D158" s="7" t="s">
        <v>887</v>
      </c>
      <c r="E158" s="8" t="s">
        <v>1483</v>
      </c>
      <c r="F158" s="8" t="s">
        <v>1483</v>
      </c>
      <c r="G158" s="8" t="s">
        <v>1483</v>
      </c>
      <c r="H158" s="8" t="s">
        <v>1483</v>
      </c>
      <c r="I158" s="8">
        <v>332</v>
      </c>
      <c r="J158" s="8">
        <v>356</v>
      </c>
      <c r="K158" s="8">
        <v>380</v>
      </c>
      <c r="L158" s="8">
        <v>397</v>
      </c>
      <c r="M158" s="8">
        <v>420.10479048014389</v>
      </c>
      <c r="N158" s="8">
        <v>439.56358498765491</v>
      </c>
    </row>
    <row r="159" spans="1:14" x14ac:dyDescent="0.25">
      <c r="A159" s="6" t="s">
        <v>849</v>
      </c>
      <c r="B159" s="7" t="s">
        <v>20</v>
      </c>
      <c r="C159" s="7" t="s">
        <v>21</v>
      </c>
      <c r="D159" s="7" t="s">
        <v>886</v>
      </c>
      <c r="E159" s="8" t="s">
        <v>1483</v>
      </c>
      <c r="F159" s="8" t="s">
        <v>1483</v>
      </c>
      <c r="G159" s="8" t="s">
        <v>1483</v>
      </c>
      <c r="H159" s="8">
        <v>106</v>
      </c>
      <c r="I159" s="8">
        <v>102</v>
      </c>
      <c r="J159" s="8">
        <v>109</v>
      </c>
      <c r="K159" s="8">
        <v>120</v>
      </c>
      <c r="L159" s="8">
        <v>124</v>
      </c>
      <c r="M159" s="8" t="s">
        <v>1483</v>
      </c>
      <c r="N159" s="8" t="s">
        <v>1483</v>
      </c>
    </row>
    <row r="160" spans="1:14" x14ac:dyDescent="0.25">
      <c r="A160" s="6" t="s">
        <v>133</v>
      </c>
      <c r="B160" s="7" t="s">
        <v>20</v>
      </c>
      <c r="C160" s="7" t="s">
        <v>21</v>
      </c>
      <c r="D160" s="7" t="s">
        <v>885</v>
      </c>
      <c r="E160" s="8" t="s">
        <v>1483</v>
      </c>
      <c r="F160" s="8" t="s">
        <v>1483</v>
      </c>
      <c r="G160" s="8" t="s">
        <v>1483</v>
      </c>
      <c r="H160" s="8">
        <v>242</v>
      </c>
      <c r="I160" s="8">
        <v>230</v>
      </c>
      <c r="J160" s="8">
        <v>247</v>
      </c>
      <c r="K160" s="8">
        <v>259</v>
      </c>
      <c r="L160" s="8">
        <v>273</v>
      </c>
      <c r="M160" s="8">
        <v>288.8476976162716</v>
      </c>
      <c r="N160" s="8">
        <v>301.52623227146125</v>
      </c>
    </row>
    <row r="161" spans="1:14" x14ac:dyDescent="0.25">
      <c r="A161" s="6" t="s">
        <v>17</v>
      </c>
      <c r="B161" s="7"/>
      <c r="C161" s="7"/>
      <c r="D161" s="7"/>
      <c r="E161" s="8"/>
      <c r="F161" s="8"/>
      <c r="G161" s="8"/>
      <c r="H161" s="8"/>
      <c r="I161" s="8"/>
      <c r="J161" s="8"/>
      <c r="K161" s="8"/>
      <c r="L161" s="8"/>
      <c r="M161" s="8"/>
      <c r="N161" s="8"/>
    </row>
    <row r="162" spans="1:14" x14ac:dyDescent="0.25">
      <c r="A162" s="6" t="s">
        <v>18</v>
      </c>
      <c r="B162" s="7" t="s">
        <v>20</v>
      </c>
      <c r="C162" s="7" t="s">
        <v>21</v>
      </c>
      <c r="D162" s="7" t="s">
        <v>884</v>
      </c>
      <c r="E162" s="8">
        <v>8885</v>
      </c>
      <c r="F162" s="8">
        <v>8839</v>
      </c>
      <c r="G162" s="8">
        <v>7763</v>
      </c>
      <c r="H162" s="8">
        <v>8588</v>
      </c>
      <c r="I162" s="8">
        <v>8587</v>
      </c>
      <c r="J162" s="8">
        <v>8942</v>
      </c>
      <c r="K162" s="8">
        <v>9158</v>
      </c>
      <c r="L162" s="8">
        <v>9258</v>
      </c>
      <c r="M162" s="8">
        <v>9547.0922115076191</v>
      </c>
      <c r="N162" s="8">
        <v>9802.4559109154598</v>
      </c>
    </row>
    <row r="163" spans="1:14" x14ac:dyDescent="0.25">
      <c r="A163" s="6" t="s">
        <v>883</v>
      </c>
      <c r="B163" s="7" t="s">
        <v>20</v>
      </c>
      <c r="C163" s="7" t="s">
        <v>21</v>
      </c>
      <c r="D163" s="7" t="s">
        <v>882</v>
      </c>
      <c r="E163" s="8">
        <v>1418</v>
      </c>
      <c r="F163" s="8">
        <v>1438</v>
      </c>
      <c r="G163" s="8">
        <v>1280</v>
      </c>
      <c r="H163" s="8">
        <v>1480</v>
      </c>
      <c r="I163" s="8">
        <v>1514</v>
      </c>
      <c r="J163" s="8">
        <v>1560</v>
      </c>
      <c r="K163" s="8">
        <v>1638</v>
      </c>
      <c r="L163" s="8">
        <v>1674</v>
      </c>
      <c r="M163" s="8">
        <v>1739.7297111261635</v>
      </c>
      <c r="N163" s="8">
        <v>1793.7240047027321</v>
      </c>
    </row>
    <row r="164" spans="1:14" x14ac:dyDescent="0.25">
      <c r="A164" s="6" t="s">
        <v>849</v>
      </c>
      <c r="B164" s="7" t="s">
        <v>20</v>
      </c>
      <c r="C164" s="7" t="s">
        <v>21</v>
      </c>
      <c r="D164" s="7" t="s">
        <v>881</v>
      </c>
      <c r="E164" s="8">
        <v>841</v>
      </c>
      <c r="F164" s="8">
        <v>863</v>
      </c>
      <c r="G164" s="8">
        <v>793</v>
      </c>
      <c r="H164" s="8">
        <v>878</v>
      </c>
      <c r="I164" s="8">
        <v>943</v>
      </c>
      <c r="J164" s="8">
        <v>996</v>
      </c>
      <c r="K164" s="8">
        <v>1057</v>
      </c>
      <c r="L164" s="8">
        <v>1080</v>
      </c>
      <c r="M164" s="8">
        <v>1123.0165349545455</v>
      </c>
      <c r="N164" s="8">
        <v>1160.7658867577275</v>
      </c>
    </row>
    <row r="165" spans="1:14" x14ac:dyDescent="0.25">
      <c r="A165" s="6" t="s">
        <v>133</v>
      </c>
      <c r="B165" s="7" t="s">
        <v>20</v>
      </c>
      <c r="C165" s="7" t="s">
        <v>21</v>
      </c>
      <c r="D165" s="7" t="s">
        <v>880</v>
      </c>
      <c r="E165" s="8">
        <v>577</v>
      </c>
      <c r="F165" s="8">
        <v>575</v>
      </c>
      <c r="G165" s="8">
        <v>487</v>
      </c>
      <c r="H165" s="8">
        <v>602</v>
      </c>
      <c r="I165" s="8">
        <v>571</v>
      </c>
      <c r="J165" s="8">
        <v>564</v>
      </c>
      <c r="K165" s="8">
        <v>581</v>
      </c>
      <c r="L165" s="8">
        <v>594</v>
      </c>
      <c r="M165" s="8">
        <v>619.4861875478432</v>
      </c>
      <c r="N165" s="8">
        <v>637.6171617859485</v>
      </c>
    </row>
    <row r="166" spans="1:14" x14ac:dyDescent="0.25">
      <c r="A166" s="6" t="s">
        <v>879</v>
      </c>
      <c r="B166" s="7" t="s">
        <v>20</v>
      </c>
      <c r="C166" s="7" t="s">
        <v>21</v>
      </c>
      <c r="D166" s="7" t="s">
        <v>878</v>
      </c>
      <c r="E166" s="8">
        <v>1502</v>
      </c>
      <c r="F166" s="8">
        <v>1480</v>
      </c>
      <c r="G166" s="8">
        <v>1170</v>
      </c>
      <c r="H166" s="8">
        <v>1325</v>
      </c>
      <c r="I166" s="8">
        <v>1359</v>
      </c>
      <c r="J166" s="8">
        <v>1456</v>
      </c>
      <c r="K166" s="8">
        <v>1545</v>
      </c>
      <c r="L166" s="8">
        <v>1587</v>
      </c>
      <c r="M166" s="8">
        <v>1652.9561475580317</v>
      </c>
      <c r="N166" s="8">
        <v>1708.3497980917523</v>
      </c>
    </row>
    <row r="167" spans="1:14" x14ac:dyDescent="0.25">
      <c r="A167" s="6" t="s">
        <v>849</v>
      </c>
      <c r="B167" s="7" t="s">
        <v>20</v>
      </c>
      <c r="C167" s="7" t="s">
        <v>21</v>
      </c>
      <c r="D167" s="7" t="s">
        <v>877</v>
      </c>
      <c r="E167" s="8">
        <v>911</v>
      </c>
      <c r="F167" s="8">
        <v>889</v>
      </c>
      <c r="G167" s="8">
        <v>743</v>
      </c>
      <c r="H167" s="8">
        <v>787</v>
      </c>
      <c r="I167" s="8">
        <v>851</v>
      </c>
      <c r="J167" s="8">
        <v>896</v>
      </c>
      <c r="K167" s="8">
        <v>922</v>
      </c>
      <c r="L167" s="8">
        <v>924</v>
      </c>
      <c r="M167" s="8">
        <v>958.04102931454543</v>
      </c>
      <c r="N167" s="8">
        <v>992.06093708489084</v>
      </c>
    </row>
    <row r="168" spans="1:14" x14ac:dyDescent="0.25">
      <c r="A168" s="6" t="s">
        <v>133</v>
      </c>
      <c r="B168" s="7" t="s">
        <v>20</v>
      </c>
      <c r="C168" s="7" t="s">
        <v>21</v>
      </c>
      <c r="D168" s="7" t="s">
        <v>876</v>
      </c>
      <c r="E168" s="8">
        <v>591</v>
      </c>
      <c r="F168" s="8">
        <v>591</v>
      </c>
      <c r="G168" s="8">
        <v>427</v>
      </c>
      <c r="H168" s="8">
        <v>538</v>
      </c>
      <c r="I168" s="8">
        <v>508</v>
      </c>
      <c r="J168" s="8">
        <v>559</v>
      </c>
      <c r="K168" s="8">
        <v>623</v>
      </c>
      <c r="L168" s="8">
        <v>663</v>
      </c>
      <c r="M168" s="8">
        <v>700.49803355314373</v>
      </c>
      <c r="N168" s="8">
        <v>726.13608539772611</v>
      </c>
    </row>
    <row r="169" spans="1:14" x14ac:dyDescent="0.25">
      <c r="A169" s="6" t="s">
        <v>875</v>
      </c>
      <c r="B169" s="7" t="s">
        <v>20</v>
      </c>
      <c r="C169" s="7" t="s">
        <v>21</v>
      </c>
      <c r="D169" s="7" t="s">
        <v>874</v>
      </c>
      <c r="E169" s="8">
        <v>2699</v>
      </c>
      <c r="F169" s="8">
        <v>2720</v>
      </c>
      <c r="G169" s="8">
        <v>2614</v>
      </c>
      <c r="H169" s="8">
        <v>2885</v>
      </c>
      <c r="I169" s="8">
        <v>2871</v>
      </c>
      <c r="J169" s="8">
        <v>2979</v>
      </c>
      <c r="K169" s="8">
        <v>3049</v>
      </c>
      <c r="L169" s="8">
        <v>3146</v>
      </c>
      <c r="M169" s="8">
        <v>3261.6201398342318</v>
      </c>
      <c r="N169" s="8">
        <v>3359.3185714486613</v>
      </c>
    </row>
    <row r="170" spans="1:14" x14ac:dyDescent="0.25">
      <c r="A170" s="6" t="s">
        <v>849</v>
      </c>
      <c r="B170" s="7" t="s">
        <v>20</v>
      </c>
      <c r="C170" s="7" t="s">
        <v>21</v>
      </c>
      <c r="D170" s="7" t="s">
        <v>873</v>
      </c>
      <c r="E170" s="8">
        <v>1599</v>
      </c>
      <c r="F170" s="8">
        <v>1652</v>
      </c>
      <c r="G170" s="8">
        <v>1648</v>
      </c>
      <c r="H170" s="8">
        <v>1819</v>
      </c>
      <c r="I170" s="8">
        <v>1882</v>
      </c>
      <c r="J170" s="8">
        <v>1949</v>
      </c>
      <c r="K170" s="8">
        <v>2014</v>
      </c>
      <c r="L170" s="8">
        <v>2058</v>
      </c>
      <c r="M170" s="8">
        <v>2135.1263626</v>
      </c>
      <c r="N170" s="8">
        <v>2200.4127000459998</v>
      </c>
    </row>
    <row r="171" spans="1:14" x14ac:dyDescent="0.25">
      <c r="A171" s="6" t="s">
        <v>133</v>
      </c>
      <c r="B171" s="7" t="s">
        <v>20</v>
      </c>
      <c r="C171" s="7" t="s">
        <v>21</v>
      </c>
      <c r="D171" s="7" t="s">
        <v>872</v>
      </c>
      <c r="E171" s="8">
        <v>1100</v>
      </c>
      <c r="F171" s="8">
        <v>1068</v>
      </c>
      <c r="G171" s="8">
        <v>966</v>
      </c>
      <c r="H171" s="8">
        <v>1066</v>
      </c>
      <c r="I171" s="8">
        <v>989</v>
      </c>
      <c r="J171" s="8">
        <v>1030</v>
      </c>
      <c r="K171" s="8">
        <v>1036</v>
      </c>
      <c r="L171" s="8">
        <v>1088</v>
      </c>
      <c r="M171" s="8">
        <v>1134.0734075643206</v>
      </c>
      <c r="N171" s="8">
        <v>1172.0003331650535</v>
      </c>
    </row>
    <row r="172" spans="1:14" x14ac:dyDescent="0.25">
      <c r="A172" s="6" t="s">
        <v>871</v>
      </c>
      <c r="B172" s="7" t="s">
        <v>20</v>
      </c>
      <c r="C172" s="7" t="s">
        <v>21</v>
      </c>
      <c r="D172" s="7" t="s">
        <v>870</v>
      </c>
      <c r="E172" s="8">
        <v>3266</v>
      </c>
      <c r="F172" s="8">
        <v>3201</v>
      </c>
      <c r="G172" s="8">
        <v>2699</v>
      </c>
      <c r="H172" s="8">
        <v>2898</v>
      </c>
      <c r="I172" s="8">
        <v>2843</v>
      </c>
      <c r="J172" s="8">
        <v>2947</v>
      </c>
      <c r="K172" s="8">
        <v>2926</v>
      </c>
      <c r="L172" s="8">
        <v>2851</v>
      </c>
      <c r="M172" s="8">
        <v>2912.2513593961207</v>
      </c>
      <c r="N172" s="8">
        <v>2969.4632351275254</v>
      </c>
    </row>
    <row r="173" spans="1:14" x14ac:dyDescent="0.25">
      <c r="A173" s="6" t="s">
        <v>849</v>
      </c>
      <c r="B173" s="7" t="s">
        <v>20</v>
      </c>
      <c r="C173" s="7" t="s">
        <v>21</v>
      </c>
      <c r="D173" s="7" t="s">
        <v>869</v>
      </c>
      <c r="E173" s="8">
        <v>1930</v>
      </c>
      <c r="F173" s="8">
        <v>1915</v>
      </c>
      <c r="G173" s="8">
        <v>1595</v>
      </c>
      <c r="H173" s="8">
        <v>1641</v>
      </c>
      <c r="I173" s="8">
        <v>1645</v>
      </c>
      <c r="J173" s="8">
        <v>1684</v>
      </c>
      <c r="K173" s="8">
        <v>1696</v>
      </c>
      <c r="L173" s="8">
        <v>1658</v>
      </c>
      <c r="M173" s="8">
        <v>1697.2447611111111</v>
      </c>
      <c r="N173" s="8">
        <v>1738.1338358999999</v>
      </c>
    </row>
    <row r="174" spans="1:14" x14ac:dyDescent="0.25">
      <c r="A174" s="6" t="s">
        <v>133</v>
      </c>
      <c r="B174" s="7" t="s">
        <v>20</v>
      </c>
      <c r="C174" s="7" t="s">
        <v>21</v>
      </c>
      <c r="D174" s="7" t="s">
        <v>868</v>
      </c>
      <c r="E174" s="8">
        <v>1336</v>
      </c>
      <c r="F174" s="8">
        <v>1286</v>
      </c>
      <c r="G174" s="8">
        <v>1104</v>
      </c>
      <c r="H174" s="8">
        <v>1256</v>
      </c>
      <c r="I174" s="8">
        <v>1198</v>
      </c>
      <c r="J174" s="8">
        <v>1263</v>
      </c>
      <c r="K174" s="8">
        <v>1230</v>
      </c>
      <c r="L174" s="8">
        <v>1193</v>
      </c>
      <c r="M174" s="8">
        <v>1220.4325838992736</v>
      </c>
      <c r="N174" s="8">
        <v>1244.1395758818071</v>
      </c>
    </row>
    <row r="175" spans="1:14" x14ac:dyDescent="0.25">
      <c r="A175" s="6" t="s">
        <v>17</v>
      </c>
      <c r="B175" s="7"/>
      <c r="C175" s="7"/>
      <c r="D175" s="7"/>
      <c r="E175" s="8"/>
      <c r="F175" s="8"/>
      <c r="G175" s="8"/>
      <c r="H175" s="8"/>
      <c r="I175" s="8"/>
      <c r="J175" s="8"/>
      <c r="K175" s="8"/>
      <c r="L175" s="8"/>
      <c r="M175" s="8"/>
      <c r="N175" s="8"/>
    </row>
    <row r="176" spans="1:14" x14ac:dyDescent="0.25">
      <c r="A176" s="6" t="s">
        <v>867</v>
      </c>
      <c r="B176" s="7" t="s">
        <v>20</v>
      </c>
      <c r="C176" s="7" t="s">
        <v>21</v>
      </c>
      <c r="D176" s="7" t="s">
        <v>866</v>
      </c>
      <c r="E176" s="8">
        <v>9901</v>
      </c>
      <c r="F176" s="8">
        <v>9501</v>
      </c>
      <c r="G176" s="8">
        <v>8231</v>
      </c>
      <c r="H176" s="8">
        <v>9812</v>
      </c>
      <c r="I176" s="8">
        <v>9690</v>
      </c>
      <c r="J176" s="8">
        <v>10037</v>
      </c>
      <c r="K176" s="8">
        <v>9845</v>
      </c>
      <c r="L176" s="8">
        <v>10137</v>
      </c>
      <c r="M176" s="8">
        <v>10525.91316170836</v>
      </c>
      <c r="N176" s="8">
        <v>10857.70599591364</v>
      </c>
    </row>
    <row r="177" spans="1:14" x14ac:dyDescent="0.25">
      <c r="A177" s="6" t="s">
        <v>865</v>
      </c>
      <c r="B177" s="7" t="s">
        <v>20</v>
      </c>
      <c r="C177" s="7" t="s">
        <v>21</v>
      </c>
      <c r="D177" s="7" t="s">
        <v>864</v>
      </c>
      <c r="E177" s="8">
        <v>4002</v>
      </c>
      <c r="F177" s="8">
        <v>4095</v>
      </c>
      <c r="G177" s="8">
        <v>3839</v>
      </c>
      <c r="H177" s="8">
        <v>4622</v>
      </c>
      <c r="I177" s="8">
        <v>4569</v>
      </c>
      <c r="J177" s="8">
        <v>4671</v>
      </c>
      <c r="K177" s="8">
        <v>4488</v>
      </c>
      <c r="L177" s="8">
        <v>4577</v>
      </c>
      <c r="M177" s="8">
        <v>4753.7309354209501</v>
      </c>
      <c r="N177" s="8">
        <v>4905.7321736014655</v>
      </c>
    </row>
    <row r="178" spans="1:14" x14ac:dyDescent="0.25">
      <c r="A178" s="6" t="s">
        <v>849</v>
      </c>
      <c r="B178" s="7" t="s">
        <v>20</v>
      </c>
      <c r="C178" s="7" t="s">
        <v>21</v>
      </c>
      <c r="D178" s="7" t="s">
        <v>863</v>
      </c>
      <c r="E178" s="8">
        <v>1657</v>
      </c>
      <c r="F178" s="8">
        <v>1637</v>
      </c>
      <c r="G178" s="8">
        <v>1535</v>
      </c>
      <c r="H178" s="8">
        <v>1761</v>
      </c>
      <c r="I178" s="8">
        <v>1784</v>
      </c>
      <c r="J178" s="8">
        <v>1833</v>
      </c>
      <c r="K178" s="8">
        <v>1838</v>
      </c>
      <c r="L178" s="8">
        <v>1900</v>
      </c>
      <c r="M178" s="8">
        <v>1978.8596239999999</v>
      </c>
      <c r="N178" s="8">
        <v>2042.8076992200001</v>
      </c>
    </row>
    <row r="179" spans="1:14" x14ac:dyDescent="0.25">
      <c r="A179" s="6" t="s">
        <v>133</v>
      </c>
      <c r="B179" s="7" t="s">
        <v>20</v>
      </c>
      <c r="C179" s="7" t="s">
        <v>21</v>
      </c>
      <c r="D179" s="7" t="s">
        <v>862</v>
      </c>
      <c r="E179" s="8">
        <v>2345</v>
      </c>
      <c r="F179" s="8">
        <v>2458</v>
      </c>
      <c r="G179" s="8">
        <v>2304</v>
      </c>
      <c r="H179" s="8">
        <v>2861</v>
      </c>
      <c r="I179" s="8">
        <v>2785</v>
      </c>
      <c r="J179" s="8">
        <v>2837</v>
      </c>
      <c r="K179" s="8">
        <v>2650</v>
      </c>
      <c r="L179" s="8">
        <v>2678</v>
      </c>
      <c r="M179" s="8">
        <v>2773.1589338860799</v>
      </c>
      <c r="N179" s="8">
        <v>2861.753184081253</v>
      </c>
    </row>
    <row r="180" spans="1:14" x14ac:dyDescent="0.25">
      <c r="A180" s="6" t="s">
        <v>861</v>
      </c>
      <c r="B180" s="7" t="s">
        <v>20</v>
      </c>
      <c r="C180" s="7" t="s">
        <v>21</v>
      </c>
      <c r="D180" s="7" t="s">
        <v>860</v>
      </c>
      <c r="E180" s="8">
        <v>4557</v>
      </c>
      <c r="F180" s="8">
        <v>5406</v>
      </c>
      <c r="G180" s="8">
        <v>4392</v>
      </c>
      <c r="H180" s="8">
        <v>5190</v>
      </c>
      <c r="I180" s="8">
        <v>5121</v>
      </c>
      <c r="J180" s="8">
        <v>5366</v>
      </c>
      <c r="K180" s="8">
        <v>5358</v>
      </c>
      <c r="L180" s="8">
        <v>5560</v>
      </c>
      <c r="M180" s="8">
        <v>5787.2140079572864</v>
      </c>
      <c r="N180" s="8">
        <v>5968.6885143055333</v>
      </c>
    </row>
    <row r="181" spans="1:14" x14ac:dyDescent="0.25">
      <c r="A181" s="6" t="s">
        <v>849</v>
      </c>
      <c r="B181" s="7" t="s">
        <v>20</v>
      </c>
      <c r="C181" s="7" t="s">
        <v>21</v>
      </c>
      <c r="D181" s="7" t="s">
        <v>859</v>
      </c>
      <c r="E181" s="8">
        <v>1751</v>
      </c>
      <c r="F181" s="8">
        <v>1762</v>
      </c>
      <c r="G181" s="8">
        <v>1714</v>
      </c>
      <c r="H181" s="8">
        <v>2006</v>
      </c>
      <c r="I181" s="8">
        <v>2113</v>
      </c>
      <c r="J181" s="8">
        <v>2198</v>
      </c>
      <c r="K181" s="8">
        <v>2165</v>
      </c>
      <c r="L181" s="8">
        <v>2257</v>
      </c>
      <c r="M181" s="8">
        <v>2349.1933370000002</v>
      </c>
      <c r="N181" s="8">
        <v>2422.1374313599995</v>
      </c>
    </row>
    <row r="182" spans="1:14" x14ac:dyDescent="0.25">
      <c r="A182" s="6" t="s">
        <v>133</v>
      </c>
      <c r="B182" s="7" t="s">
        <v>20</v>
      </c>
      <c r="C182" s="7" t="s">
        <v>21</v>
      </c>
      <c r="D182" s="7" t="s">
        <v>858</v>
      </c>
      <c r="E182" s="8">
        <v>2806</v>
      </c>
      <c r="F182" s="8">
        <v>2718</v>
      </c>
      <c r="G182" s="8">
        <v>2679</v>
      </c>
      <c r="H182" s="8">
        <v>3085</v>
      </c>
      <c r="I182" s="8">
        <v>3008</v>
      </c>
      <c r="J182" s="8">
        <v>3168</v>
      </c>
      <c r="K182" s="8">
        <v>3192</v>
      </c>
      <c r="L182" s="8">
        <v>3302</v>
      </c>
      <c r="M182" s="8">
        <v>3441.3405855850438</v>
      </c>
      <c r="N182" s="8">
        <v>3551.5092419025955</v>
      </c>
    </row>
    <row r="183" spans="1:14" x14ac:dyDescent="0.25">
      <c r="A183" s="6" t="s">
        <v>17</v>
      </c>
      <c r="B183" s="7"/>
      <c r="C183" s="7"/>
      <c r="D183" s="7"/>
      <c r="E183" s="8"/>
      <c r="F183" s="8"/>
      <c r="G183" s="8"/>
      <c r="H183" s="8"/>
      <c r="I183" s="8"/>
      <c r="J183" s="8"/>
      <c r="K183" s="8"/>
      <c r="L183" s="8"/>
      <c r="M183" s="8"/>
      <c r="N183" s="8"/>
    </row>
    <row r="184" spans="1:14" x14ac:dyDescent="0.25">
      <c r="A184" s="6" t="s">
        <v>857</v>
      </c>
      <c r="B184" s="7" t="s">
        <v>20</v>
      </c>
      <c r="C184" s="7" t="s">
        <v>21</v>
      </c>
      <c r="D184" s="7" t="s">
        <v>856</v>
      </c>
      <c r="E184" s="8">
        <v>4553</v>
      </c>
      <c r="F184" s="8">
        <v>4624</v>
      </c>
      <c r="G184" s="8">
        <v>3919</v>
      </c>
      <c r="H184" s="8">
        <v>4688</v>
      </c>
      <c r="I184" s="8">
        <v>4849</v>
      </c>
      <c r="J184" s="8">
        <v>5072</v>
      </c>
      <c r="K184" s="8">
        <v>5146</v>
      </c>
      <c r="L184" s="8">
        <v>5468</v>
      </c>
      <c r="M184" s="8">
        <v>5767.3208288253509</v>
      </c>
      <c r="N184" s="8">
        <v>6016.0903999459169</v>
      </c>
    </row>
    <row r="185" spans="1:14" x14ac:dyDescent="0.25">
      <c r="A185" s="6" t="s">
        <v>855</v>
      </c>
      <c r="B185" s="7" t="s">
        <v>20</v>
      </c>
      <c r="C185" s="7" t="s">
        <v>21</v>
      </c>
      <c r="D185" s="7" t="s">
        <v>854</v>
      </c>
      <c r="E185" s="8">
        <v>3302</v>
      </c>
      <c r="F185" s="8">
        <v>3392</v>
      </c>
      <c r="G185" s="8">
        <v>2994</v>
      </c>
      <c r="H185" s="8">
        <v>3440</v>
      </c>
      <c r="I185" s="8">
        <v>3543</v>
      </c>
      <c r="J185" s="8">
        <v>3702</v>
      </c>
      <c r="K185" s="8">
        <v>3733</v>
      </c>
      <c r="L185" s="8">
        <v>3910</v>
      </c>
      <c r="M185" s="8">
        <v>4104.5200341948939</v>
      </c>
      <c r="N185" s="8">
        <v>4278.1922894321042</v>
      </c>
    </row>
    <row r="186" spans="1:14" x14ac:dyDescent="0.25">
      <c r="A186" s="6" t="s">
        <v>849</v>
      </c>
      <c r="B186" s="7" t="s">
        <v>20</v>
      </c>
      <c r="C186" s="7" t="s">
        <v>21</v>
      </c>
      <c r="D186" s="7" t="s">
        <v>853</v>
      </c>
      <c r="E186" s="8">
        <v>1237</v>
      </c>
      <c r="F186" s="8">
        <v>1304</v>
      </c>
      <c r="G186" s="8">
        <v>1213</v>
      </c>
      <c r="H186" s="8">
        <v>1392</v>
      </c>
      <c r="I186" s="8">
        <v>1522</v>
      </c>
      <c r="J186" s="8">
        <v>1626</v>
      </c>
      <c r="K186" s="8">
        <v>1684</v>
      </c>
      <c r="L186" s="8">
        <v>1754</v>
      </c>
      <c r="M186" s="8">
        <v>1831.0871232</v>
      </c>
      <c r="N186" s="8">
        <v>1906.894889832</v>
      </c>
    </row>
    <row r="187" spans="1:14" x14ac:dyDescent="0.25">
      <c r="A187" s="6" t="s">
        <v>133</v>
      </c>
      <c r="B187" s="7" t="s">
        <v>20</v>
      </c>
      <c r="C187" s="7" t="s">
        <v>21</v>
      </c>
      <c r="D187" s="7" t="s">
        <v>852</v>
      </c>
      <c r="E187" s="8">
        <v>2065</v>
      </c>
      <c r="F187" s="8">
        <v>2088</v>
      </c>
      <c r="G187" s="8">
        <v>1781</v>
      </c>
      <c r="H187" s="8">
        <v>2043</v>
      </c>
      <c r="I187" s="8">
        <v>2022</v>
      </c>
      <c r="J187" s="8">
        <v>2076</v>
      </c>
      <c r="K187" s="8">
        <v>2049</v>
      </c>
      <c r="L187" s="8">
        <v>2157</v>
      </c>
      <c r="M187" s="8">
        <v>2267.9685361443935</v>
      </c>
      <c r="N187" s="8">
        <v>2357.0344503421038</v>
      </c>
    </row>
    <row r="188" spans="1:14" x14ac:dyDescent="0.25">
      <c r="A188" s="6" t="s">
        <v>851</v>
      </c>
      <c r="B188" s="7" t="s">
        <v>20</v>
      </c>
      <c r="C188" s="7" t="s">
        <v>21</v>
      </c>
      <c r="D188" s="7" t="s">
        <v>850</v>
      </c>
      <c r="E188" s="8">
        <v>1251</v>
      </c>
      <c r="F188" s="8">
        <v>1232</v>
      </c>
      <c r="G188" s="8">
        <v>925</v>
      </c>
      <c r="H188" s="8">
        <v>1248</v>
      </c>
      <c r="I188" s="8">
        <v>1306</v>
      </c>
      <c r="J188" s="8">
        <v>1370</v>
      </c>
      <c r="K188" s="8">
        <v>1413</v>
      </c>
      <c r="L188" s="8">
        <v>1558</v>
      </c>
      <c r="M188" s="8">
        <v>1672.590224434683</v>
      </c>
      <c r="N188" s="8">
        <v>1754.9069047131336</v>
      </c>
    </row>
    <row r="189" spans="1:14" x14ac:dyDescent="0.25">
      <c r="A189" s="6" t="s">
        <v>849</v>
      </c>
      <c r="B189" s="7" t="s">
        <v>20</v>
      </c>
      <c r="C189" s="7" t="s">
        <v>21</v>
      </c>
      <c r="D189" s="7" t="s">
        <v>848</v>
      </c>
      <c r="E189" s="8">
        <v>540</v>
      </c>
      <c r="F189" s="8">
        <v>490</v>
      </c>
      <c r="G189" s="8">
        <v>344</v>
      </c>
      <c r="H189" s="8">
        <v>565</v>
      </c>
      <c r="I189" s="8">
        <v>468</v>
      </c>
      <c r="J189" s="8">
        <v>460</v>
      </c>
      <c r="K189" s="8">
        <v>443</v>
      </c>
      <c r="L189" s="8">
        <v>471</v>
      </c>
      <c r="M189" s="8">
        <v>496.41184700000002</v>
      </c>
      <c r="N189" s="8">
        <v>518.84922004000009</v>
      </c>
    </row>
    <row r="190" spans="1:14" x14ac:dyDescent="0.25">
      <c r="A190" s="6" t="s">
        <v>133</v>
      </c>
      <c r="B190" s="7" t="s">
        <v>20</v>
      </c>
      <c r="C190" s="7" t="s">
        <v>21</v>
      </c>
      <c r="D190" s="7" t="s">
        <v>847</v>
      </c>
      <c r="E190" s="8">
        <v>711</v>
      </c>
      <c r="F190" s="8">
        <v>742</v>
      </c>
      <c r="G190" s="8">
        <v>581</v>
      </c>
      <c r="H190" s="8">
        <v>788</v>
      </c>
      <c r="I190" s="8">
        <v>837</v>
      </c>
      <c r="J190" s="8">
        <v>910</v>
      </c>
      <c r="K190" s="8">
        <v>969</v>
      </c>
      <c r="L190" s="8">
        <v>1086</v>
      </c>
      <c r="M190" s="8">
        <v>1177.9534204482645</v>
      </c>
      <c r="N190" s="8">
        <v>1237.5628786473956</v>
      </c>
    </row>
    <row r="191" spans="1:14" x14ac:dyDescent="0.25">
      <c r="A191" s="6" t="s">
        <v>17</v>
      </c>
      <c r="B191" s="7"/>
      <c r="C191" s="7"/>
      <c r="D191" s="7"/>
      <c r="E191" s="8"/>
      <c r="F191" s="8"/>
      <c r="G191" s="8"/>
      <c r="H191" s="8"/>
      <c r="I191" s="8"/>
      <c r="J191" s="8"/>
      <c r="K191" s="8"/>
      <c r="L191" s="8"/>
      <c r="M191" s="8"/>
      <c r="N191" s="8"/>
    </row>
    <row r="192" spans="1:14" x14ac:dyDescent="0.25">
      <c r="A192" s="6" t="s">
        <v>846</v>
      </c>
      <c r="B192" s="7"/>
      <c r="C192" s="7"/>
      <c r="D192" s="7"/>
      <c r="E192" s="8"/>
      <c r="F192" s="8"/>
      <c r="G192" s="8"/>
      <c r="H192" s="8"/>
      <c r="I192" s="8"/>
      <c r="J192" s="8"/>
      <c r="K192" s="8"/>
      <c r="L192" s="8"/>
      <c r="M192" s="8"/>
      <c r="N192" s="8"/>
    </row>
    <row r="193" spans="1:14" x14ac:dyDescent="0.25">
      <c r="A193" s="6" t="s">
        <v>845</v>
      </c>
      <c r="B193" s="7" t="s">
        <v>20</v>
      </c>
      <c r="C193" s="7" t="s">
        <v>21</v>
      </c>
      <c r="D193" s="7" t="s">
        <v>844</v>
      </c>
      <c r="E193" s="8" t="s">
        <v>1483</v>
      </c>
      <c r="F193" s="8" t="s">
        <v>1483</v>
      </c>
      <c r="G193" s="8" t="s">
        <v>1483</v>
      </c>
      <c r="H193" s="8" t="s">
        <v>1483</v>
      </c>
      <c r="I193" s="8" t="s">
        <v>1483</v>
      </c>
      <c r="J193" s="8" t="s">
        <v>1483</v>
      </c>
      <c r="K193" s="8" t="s">
        <v>1483</v>
      </c>
      <c r="L193" s="8" t="s">
        <v>1483</v>
      </c>
      <c r="M193" s="8">
        <v>267.0234375</v>
      </c>
      <c r="N193" s="8">
        <v>615.54082611611705</v>
      </c>
    </row>
    <row r="194" spans="1:14" x14ac:dyDescent="0.25">
      <c r="A194" s="6" t="s">
        <v>843</v>
      </c>
      <c r="B194" s="7" t="s">
        <v>20</v>
      </c>
      <c r="C194" s="7" t="s">
        <v>21</v>
      </c>
      <c r="D194" s="7" t="s">
        <v>842</v>
      </c>
      <c r="E194" s="8" t="s">
        <v>1483</v>
      </c>
      <c r="F194" s="8" t="s">
        <v>1483</v>
      </c>
      <c r="G194" s="8" t="s">
        <v>1483</v>
      </c>
      <c r="H194" s="8" t="s">
        <v>1483</v>
      </c>
      <c r="I194" s="8" t="s">
        <v>1483</v>
      </c>
      <c r="J194" s="8" t="s">
        <v>1483</v>
      </c>
      <c r="K194" s="8" t="s">
        <v>1483</v>
      </c>
      <c r="L194" s="8" t="s">
        <v>1483</v>
      </c>
      <c r="M194" s="8">
        <v>184.08802953563128</v>
      </c>
      <c r="N194" s="8">
        <v>457.31229117990478</v>
      </c>
    </row>
    <row r="195" spans="1:14" x14ac:dyDescent="0.25">
      <c r="A195" s="6" t="s">
        <v>841</v>
      </c>
      <c r="B195" s="7" t="s">
        <v>20</v>
      </c>
      <c r="C195" s="7" t="s">
        <v>21</v>
      </c>
      <c r="D195" s="7" t="s">
        <v>840</v>
      </c>
      <c r="E195" s="8" t="s">
        <v>1483</v>
      </c>
      <c r="F195" s="8" t="s">
        <v>1483</v>
      </c>
      <c r="G195" s="8" t="s">
        <v>1483</v>
      </c>
      <c r="H195" s="8" t="s">
        <v>1483</v>
      </c>
      <c r="I195" s="8" t="s">
        <v>1483</v>
      </c>
      <c r="J195" s="8" t="s">
        <v>1483</v>
      </c>
      <c r="K195" s="8" t="s">
        <v>1483</v>
      </c>
      <c r="L195" s="8" t="s">
        <v>1483</v>
      </c>
      <c r="M195" s="8">
        <v>217.95695625612464</v>
      </c>
      <c r="N195" s="8">
        <v>526.46816394622056</v>
      </c>
    </row>
    <row r="196" spans="1:14" x14ac:dyDescent="0.25">
      <c r="A196" s="6" t="s">
        <v>839</v>
      </c>
      <c r="B196" s="7" t="s">
        <v>20</v>
      </c>
      <c r="C196" s="7" t="s">
        <v>21</v>
      </c>
      <c r="D196" s="7" t="s">
        <v>838</v>
      </c>
      <c r="E196" s="8" t="s">
        <v>1483</v>
      </c>
      <c r="F196" s="8" t="s">
        <v>1483</v>
      </c>
      <c r="G196" s="8" t="s">
        <v>1483</v>
      </c>
      <c r="H196" s="8" t="s">
        <v>1483</v>
      </c>
      <c r="I196" s="8" t="s">
        <v>1483</v>
      </c>
      <c r="J196" s="8" t="s">
        <v>1483</v>
      </c>
      <c r="K196" s="8" t="s">
        <v>1483</v>
      </c>
      <c r="L196" s="8" t="s">
        <v>1483</v>
      </c>
      <c r="M196" s="8">
        <v>234.77626215248173</v>
      </c>
      <c r="N196" s="8">
        <v>324.0520612664634</v>
      </c>
    </row>
    <row r="197" spans="1:14" x14ac:dyDescent="0.25">
      <c r="A197" s="6" t="s">
        <v>657</v>
      </c>
      <c r="B197" s="7" t="s">
        <v>20</v>
      </c>
      <c r="C197" s="7" t="s">
        <v>21</v>
      </c>
      <c r="D197" s="7" t="s">
        <v>837</v>
      </c>
      <c r="E197" s="8" t="s">
        <v>1483</v>
      </c>
      <c r="F197" s="8" t="s">
        <v>1483</v>
      </c>
      <c r="G197" s="8" t="s">
        <v>1483</v>
      </c>
      <c r="H197" s="8" t="s">
        <v>1483</v>
      </c>
      <c r="I197" s="8" t="s">
        <v>1483</v>
      </c>
      <c r="J197" s="8" t="s">
        <v>1483</v>
      </c>
      <c r="K197" s="8" t="s">
        <v>1483</v>
      </c>
      <c r="L197" s="8" t="s">
        <v>1483</v>
      </c>
      <c r="M197" s="8">
        <v>88</v>
      </c>
      <c r="N197" s="8">
        <v>154</v>
      </c>
    </row>
    <row r="198" spans="1:14" x14ac:dyDescent="0.25">
      <c r="A198" s="6" t="s">
        <v>673</v>
      </c>
      <c r="B198" s="7" t="s">
        <v>20</v>
      </c>
      <c r="C198" s="7" t="s">
        <v>21</v>
      </c>
      <c r="D198" s="7" t="s">
        <v>836</v>
      </c>
      <c r="E198" s="8" t="s">
        <v>1483</v>
      </c>
      <c r="F198" s="8" t="s">
        <v>1483</v>
      </c>
      <c r="G198" s="8" t="s">
        <v>1483</v>
      </c>
      <c r="H198" s="8" t="s">
        <v>1483</v>
      </c>
      <c r="I198" s="8" t="s">
        <v>1483</v>
      </c>
      <c r="J198" s="8" t="s">
        <v>1483</v>
      </c>
      <c r="K198" s="8" t="s">
        <v>1483</v>
      </c>
      <c r="L198" s="8" t="s">
        <v>1483</v>
      </c>
      <c r="M198" s="8">
        <v>55</v>
      </c>
      <c r="N198" s="8">
        <v>90.75</v>
      </c>
    </row>
    <row r="199" spans="1:14" x14ac:dyDescent="0.25">
      <c r="A199" s="6" t="s">
        <v>835</v>
      </c>
      <c r="B199" s="7" t="s">
        <v>20</v>
      </c>
      <c r="C199" s="7" t="s">
        <v>21</v>
      </c>
      <c r="D199" s="7" t="s">
        <v>834</v>
      </c>
      <c r="E199" s="8" t="s">
        <v>1483</v>
      </c>
      <c r="F199" s="8" t="s">
        <v>1483</v>
      </c>
      <c r="G199" s="8" t="s">
        <v>1483</v>
      </c>
      <c r="H199" s="8" t="s">
        <v>1483</v>
      </c>
      <c r="I199" s="8" t="s">
        <v>1483</v>
      </c>
      <c r="J199" s="8" t="s">
        <v>1483</v>
      </c>
      <c r="K199" s="8" t="s">
        <v>1483</v>
      </c>
      <c r="L199" s="8" t="s">
        <v>1483</v>
      </c>
      <c r="M199" s="8" t="s">
        <v>1483</v>
      </c>
      <c r="N199" s="8" t="s">
        <v>1483</v>
      </c>
    </row>
    <row r="200" spans="1:14" x14ac:dyDescent="0.25">
      <c r="A200" s="6" t="s">
        <v>17</v>
      </c>
      <c r="B200" s="7"/>
      <c r="C200" s="7"/>
      <c r="D200" s="7"/>
      <c r="E200" s="8"/>
      <c r="F200" s="8"/>
      <c r="G200" s="8"/>
      <c r="H200" s="8"/>
      <c r="I200" s="8"/>
      <c r="J200" s="8"/>
      <c r="K200" s="8"/>
      <c r="L200" s="8"/>
      <c r="M200" s="8"/>
      <c r="N200" s="8"/>
    </row>
    <row r="201" spans="1:14" x14ac:dyDescent="0.25">
      <c r="A201" s="6" t="s">
        <v>833</v>
      </c>
      <c r="B201" s="7"/>
      <c r="C201" s="7"/>
      <c r="D201" s="7"/>
      <c r="E201" s="8"/>
      <c r="F201" s="8"/>
      <c r="G201" s="8"/>
      <c r="H201" s="8"/>
      <c r="I201" s="8"/>
      <c r="J201" s="8"/>
      <c r="K201" s="8"/>
      <c r="L201" s="8"/>
      <c r="M201" s="8"/>
      <c r="N201" s="8"/>
    </row>
    <row r="202" spans="1:14" x14ac:dyDescent="0.25">
      <c r="A202" s="6" t="s">
        <v>832</v>
      </c>
      <c r="B202" s="7" t="s">
        <v>20</v>
      </c>
      <c r="C202" s="7" t="s">
        <v>21</v>
      </c>
      <c r="D202" s="7" t="s">
        <v>831</v>
      </c>
      <c r="E202" s="8" t="s">
        <v>1483</v>
      </c>
      <c r="F202" s="8" t="s">
        <v>1483</v>
      </c>
      <c r="G202" s="8" t="s">
        <v>1483</v>
      </c>
      <c r="H202" s="8" t="s">
        <v>1483</v>
      </c>
      <c r="I202" s="8" t="s">
        <v>1483</v>
      </c>
      <c r="J202" s="8" t="s">
        <v>1483</v>
      </c>
      <c r="K202" s="8" t="s">
        <v>1483</v>
      </c>
      <c r="L202" s="8" t="s">
        <v>1483</v>
      </c>
      <c r="M202" s="8">
        <v>14.095028127257279</v>
      </c>
      <c r="N202" s="8">
        <v>81.303579930943528</v>
      </c>
    </row>
    <row r="203" spans="1:14" x14ac:dyDescent="0.25">
      <c r="A203" s="6" t="s">
        <v>830</v>
      </c>
      <c r="B203" s="7" t="s">
        <v>20</v>
      </c>
      <c r="C203" s="7" t="s">
        <v>21</v>
      </c>
      <c r="D203" s="7" t="s">
        <v>829</v>
      </c>
      <c r="E203" s="8" t="s">
        <v>1483</v>
      </c>
      <c r="F203" s="8" t="s">
        <v>1483</v>
      </c>
      <c r="G203" s="8" t="s">
        <v>1483</v>
      </c>
      <c r="H203" s="8" t="s">
        <v>1483</v>
      </c>
      <c r="I203" s="8" t="s">
        <v>1483</v>
      </c>
      <c r="J203" s="8" t="s">
        <v>1483</v>
      </c>
      <c r="K203" s="8" t="s">
        <v>1483</v>
      </c>
      <c r="L203" s="8" t="s">
        <v>1483</v>
      </c>
      <c r="M203" s="8">
        <v>14.070566157016941</v>
      </c>
      <c r="N203" s="8">
        <v>44.556189818374214</v>
      </c>
    </row>
    <row r="204" spans="1:14" x14ac:dyDescent="0.25">
      <c r="A204" s="6" t="s">
        <v>828</v>
      </c>
      <c r="B204" s="7" t="s">
        <v>20</v>
      </c>
      <c r="C204" s="7" t="s">
        <v>21</v>
      </c>
      <c r="D204" s="7" t="s">
        <v>827</v>
      </c>
      <c r="E204" s="8" t="s">
        <v>1483</v>
      </c>
      <c r="F204" s="8" t="s">
        <v>1483</v>
      </c>
      <c r="G204" s="8" t="s">
        <v>1483</v>
      </c>
      <c r="H204" s="8" t="s">
        <v>1483</v>
      </c>
      <c r="I204" s="8" t="s">
        <v>1483</v>
      </c>
      <c r="J204" s="8" t="s">
        <v>1483</v>
      </c>
      <c r="K204" s="8" t="s">
        <v>1483</v>
      </c>
      <c r="L204" s="8" t="s">
        <v>1483</v>
      </c>
      <c r="M204" s="8">
        <v>18.236318141731878</v>
      </c>
      <c r="N204" s="8">
        <v>50.451267130269493</v>
      </c>
    </row>
    <row r="205" spans="1:14" x14ac:dyDescent="0.25">
      <c r="A205" s="6" t="s">
        <v>826</v>
      </c>
      <c r="B205" s="7" t="s">
        <v>20</v>
      </c>
      <c r="C205" s="7" t="s">
        <v>21</v>
      </c>
      <c r="D205" s="7" t="s">
        <v>825</v>
      </c>
      <c r="E205" s="8" t="s">
        <v>1483</v>
      </c>
      <c r="F205" s="8" t="s">
        <v>1483</v>
      </c>
      <c r="G205" s="8" t="s">
        <v>1483</v>
      </c>
      <c r="H205" s="8" t="s">
        <v>1483</v>
      </c>
      <c r="I205" s="8" t="s">
        <v>1483</v>
      </c>
      <c r="J205" s="8" t="s">
        <v>1483</v>
      </c>
      <c r="K205" s="8" t="s">
        <v>1483</v>
      </c>
      <c r="L205" s="8" t="s">
        <v>1483</v>
      </c>
      <c r="M205" s="8" t="s">
        <v>1483</v>
      </c>
      <c r="N205" s="8" t="s">
        <v>1483</v>
      </c>
    </row>
    <row r="206" spans="1:14" x14ac:dyDescent="0.25">
      <c r="A206" s="6" t="s">
        <v>824</v>
      </c>
      <c r="B206" s="7" t="s">
        <v>20</v>
      </c>
      <c r="C206" s="7" t="s">
        <v>21</v>
      </c>
      <c r="D206" s="7" t="s">
        <v>823</v>
      </c>
      <c r="E206" s="8" t="s">
        <v>1483</v>
      </c>
      <c r="F206" s="8" t="s">
        <v>1483</v>
      </c>
      <c r="G206" s="8" t="s">
        <v>1483</v>
      </c>
      <c r="H206" s="8" t="s">
        <v>1483</v>
      </c>
      <c r="I206" s="8" t="s">
        <v>1483</v>
      </c>
      <c r="J206" s="8" t="s">
        <v>1483</v>
      </c>
      <c r="K206" s="8" t="s">
        <v>1483</v>
      </c>
      <c r="L206" s="8" t="s">
        <v>1483</v>
      </c>
      <c r="M206" s="8">
        <v>23.4375</v>
      </c>
      <c r="N206" s="8">
        <v>84.152737735538864</v>
      </c>
    </row>
    <row r="207" spans="1:14" x14ac:dyDescent="0.25">
      <c r="A207" s="6" t="s">
        <v>822</v>
      </c>
      <c r="B207" s="7" t="s">
        <v>20</v>
      </c>
      <c r="C207" s="7" t="s">
        <v>21</v>
      </c>
      <c r="D207" s="7" t="s">
        <v>821</v>
      </c>
      <c r="E207" s="8" t="s">
        <v>1483</v>
      </c>
      <c r="F207" s="8" t="s">
        <v>1483</v>
      </c>
      <c r="G207" s="8" t="s">
        <v>1483</v>
      </c>
      <c r="H207" s="8" t="s">
        <v>1483</v>
      </c>
      <c r="I207" s="8" t="s">
        <v>1483</v>
      </c>
      <c r="J207" s="8" t="s">
        <v>1483</v>
      </c>
      <c r="K207" s="8" t="s">
        <v>1483</v>
      </c>
      <c r="L207" s="8" t="s">
        <v>1483</v>
      </c>
      <c r="M207" s="8" t="s">
        <v>1483</v>
      </c>
      <c r="N207" s="8" t="s">
        <v>1483</v>
      </c>
    </row>
    <row r="208" spans="1:14" x14ac:dyDescent="0.25">
      <c r="A208" s="6" t="s">
        <v>17</v>
      </c>
      <c r="B208" s="7"/>
      <c r="C208" s="7"/>
      <c r="D208" s="7"/>
      <c r="E208" s="8"/>
      <c r="F208" s="8"/>
      <c r="G208" s="8"/>
      <c r="H208" s="8"/>
      <c r="I208" s="8"/>
      <c r="J208" s="8"/>
      <c r="K208" s="8"/>
      <c r="L208" s="8"/>
      <c r="M208" s="8"/>
      <c r="N208" s="8"/>
    </row>
    <row r="209" spans="1:14" x14ac:dyDescent="0.25">
      <c r="A209" s="6" t="s">
        <v>820</v>
      </c>
      <c r="B209" s="7"/>
      <c r="C209" s="7"/>
      <c r="D209" s="7"/>
      <c r="E209" s="8"/>
      <c r="F209" s="8"/>
      <c r="G209" s="8"/>
      <c r="H209" s="8"/>
      <c r="I209" s="8"/>
      <c r="J209" s="8"/>
      <c r="K209" s="8"/>
      <c r="L209" s="8"/>
      <c r="M209" s="8"/>
      <c r="N209" s="8"/>
    </row>
    <row r="210" spans="1:14" x14ac:dyDescent="0.25">
      <c r="A210" s="6" t="s">
        <v>819</v>
      </c>
      <c r="B210" s="7" t="s">
        <v>20</v>
      </c>
      <c r="C210" s="7" t="s">
        <v>21</v>
      </c>
      <c r="D210" s="7" t="s">
        <v>817</v>
      </c>
      <c r="E210" s="8">
        <v>13853</v>
      </c>
      <c r="F210" s="8">
        <v>13897</v>
      </c>
      <c r="G210" s="8">
        <v>14053</v>
      </c>
      <c r="H210" s="8">
        <v>15035</v>
      </c>
      <c r="I210" s="8">
        <v>14953</v>
      </c>
      <c r="J210" s="8" t="s">
        <v>1483</v>
      </c>
      <c r="K210" s="8" t="s">
        <v>1483</v>
      </c>
      <c r="L210" s="8" t="s">
        <v>1483</v>
      </c>
      <c r="M210" s="8">
        <v>17050.931307899828</v>
      </c>
      <c r="N210" s="8">
        <v>17464.629050831147</v>
      </c>
    </row>
    <row r="211" spans="1:14" x14ac:dyDescent="0.25">
      <c r="A211" s="6" t="s">
        <v>818</v>
      </c>
      <c r="B211" s="7" t="s">
        <v>139</v>
      </c>
      <c r="C211" s="7" t="s">
        <v>140</v>
      </c>
      <c r="D211" s="7" t="s">
        <v>817</v>
      </c>
      <c r="E211" s="8">
        <v>-0.4</v>
      </c>
      <c r="F211" s="8">
        <v>-2.7</v>
      </c>
      <c r="G211" s="8">
        <v>-1.9</v>
      </c>
      <c r="H211" s="8">
        <v>1.3</v>
      </c>
      <c r="I211" s="8">
        <v>-4.0999999999999996</v>
      </c>
      <c r="J211" s="8" t="s">
        <v>1483</v>
      </c>
      <c r="K211" s="8" t="s">
        <v>1483</v>
      </c>
      <c r="L211" s="8" t="s">
        <v>1483</v>
      </c>
      <c r="M211" s="8" t="s">
        <v>1483</v>
      </c>
      <c r="N211" s="8" t="s">
        <v>1483</v>
      </c>
    </row>
    <row r="212" spans="1:14" x14ac:dyDescent="0.25">
      <c r="A212" s="6" t="s">
        <v>816</v>
      </c>
      <c r="B212" s="7" t="s">
        <v>20</v>
      </c>
      <c r="C212" s="7" t="s">
        <v>21</v>
      </c>
      <c r="D212" s="7" t="s">
        <v>815</v>
      </c>
      <c r="E212" s="8">
        <v>4334</v>
      </c>
      <c r="F212" s="8">
        <v>4444</v>
      </c>
      <c r="G212" s="8">
        <v>4824</v>
      </c>
      <c r="H212" s="8">
        <v>5627</v>
      </c>
      <c r="I212" s="8">
        <v>6031</v>
      </c>
      <c r="J212" s="8" t="s">
        <v>1483</v>
      </c>
      <c r="K212" s="8" t="s">
        <v>1483</v>
      </c>
      <c r="L212" s="8" t="s">
        <v>1483</v>
      </c>
      <c r="M212" s="8">
        <v>7335.4031833478357</v>
      </c>
      <c r="N212" s="8">
        <v>7518.7963862525366</v>
      </c>
    </row>
    <row r="213" spans="1:14" x14ac:dyDescent="0.25">
      <c r="A213" s="6" t="s">
        <v>814</v>
      </c>
      <c r="B213" s="7" t="s">
        <v>20</v>
      </c>
      <c r="C213" s="7" t="s">
        <v>21</v>
      </c>
      <c r="D213" s="7" t="s">
        <v>813</v>
      </c>
      <c r="E213" s="8">
        <v>4382</v>
      </c>
      <c r="F213" s="8">
        <v>4593</v>
      </c>
      <c r="G213" s="8">
        <v>4450</v>
      </c>
      <c r="H213" s="8">
        <v>4541</v>
      </c>
      <c r="I213" s="8">
        <v>4352</v>
      </c>
      <c r="J213" s="8" t="s">
        <v>1483</v>
      </c>
      <c r="K213" s="8" t="s">
        <v>1483</v>
      </c>
      <c r="L213" s="8" t="s">
        <v>1483</v>
      </c>
      <c r="M213" s="8">
        <v>4953.1301721774189</v>
      </c>
      <c r="N213" s="8">
        <v>5090.9043424117936</v>
      </c>
    </row>
    <row r="214" spans="1:14" x14ac:dyDescent="0.25">
      <c r="A214" s="6" t="s">
        <v>812</v>
      </c>
      <c r="B214" s="7" t="s">
        <v>20</v>
      </c>
      <c r="C214" s="7" t="s">
        <v>21</v>
      </c>
      <c r="D214" s="7" t="s">
        <v>811</v>
      </c>
      <c r="E214" s="8">
        <v>1555</v>
      </c>
      <c r="F214" s="8">
        <v>1528</v>
      </c>
      <c r="G214" s="8">
        <v>1641</v>
      </c>
      <c r="H214" s="8">
        <v>1645</v>
      </c>
      <c r="I214" s="8">
        <v>1505</v>
      </c>
      <c r="J214" s="8" t="s">
        <v>1483</v>
      </c>
      <c r="K214" s="8" t="s">
        <v>1483</v>
      </c>
      <c r="L214" s="8" t="s">
        <v>1483</v>
      </c>
      <c r="M214" s="8">
        <v>1472.8058659830394</v>
      </c>
      <c r="N214" s="8">
        <v>1496.6671398283227</v>
      </c>
    </row>
    <row r="215" spans="1:14" x14ac:dyDescent="0.25">
      <c r="A215" s="6" t="s">
        <v>810</v>
      </c>
      <c r="B215" s="7" t="s">
        <v>20</v>
      </c>
      <c r="C215" s="7" t="s">
        <v>21</v>
      </c>
      <c r="D215" s="7" t="s">
        <v>809</v>
      </c>
      <c r="E215" s="8">
        <v>1858</v>
      </c>
      <c r="F215" s="8">
        <v>1675</v>
      </c>
      <c r="G215" s="8">
        <v>1517</v>
      </c>
      <c r="H215" s="8">
        <v>1566</v>
      </c>
      <c r="I215" s="8">
        <v>1461</v>
      </c>
      <c r="J215" s="8" t="s">
        <v>1483</v>
      </c>
      <c r="K215" s="8" t="s">
        <v>1483</v>
      </c>
      <c r="L215" s="8" t="s">
        <v>1483</v>
      </c>
      <c r="M215" s="8">
        <v>1561.9943498512696</v>
      </c>
      <c r="N215" s="8">
        <v>1600.0833164885692</v>
      </c>
    </row>
    <row r="216" spans="1:14" x14ac:dyDescent="0.25">
      <c r="A216" s="6" t="s">
        <v>808</v>
      </c>
      <c r="B216" s="7" t="s">
        <v>20</v>
      </c>
      <c r="C216" s="7" t="s">
        <v>21</v>
      </c>
      <c r="D216" s="7" t="s">
        <v>807</v>
      </c>
      <c r="E216" s="8">
        <v>1049</v>
      </c>
      <c r="F216" s="8">
        <v>986</v>
      </c>
      <c r="G216" s="8">
        <v>901</v>
      </c>
      <c r="H216" s="8">
        <v>917</v>
      </c>
      <c r="I216" s="8">
        <v>904</v>
      </c>
      <c r="J216" s="8" t="s">
        <v>1483</v>
      </c>
      <c r="K216" s="8" t="s">
        <v>1483</v>
      </c>
      <c r="L216" s="8" t="s">
        <v>1483</v>
      </c>
      <c r="M216" s="8">
        <v>930.39770302992599</v>
      </c>
      <c r="N216" s="8">
        <v>934.56703037556213</v>
      </c>
    </row>
    <row r="217" spans="1:14" x14ac:dyDescent="0.25">
      <c r="A217" s="6" t="s">
        <v>806</v>
      </c>
      <c r="B217" s="7" t="s">
        <v>20</v>
      </c>
      <c r="C217" s="7" t="s">
        <v>21</v>
      </c>
      <c r="D217" s="7" t="s">
        <v>804</v>
      </c>
      <c r="E217" s="8">
        <v>675</v>
      </c>
      <c r="F217" s="8">
        <v>671</v>
      </c>
      <c r="G217" s="8">
        <v>720</v>
      </c>
      <c r="H217" s="8">
        <v>739</v>
      </c>
      <c r="I217" s="8">
        <v>700</v>
      </c>
      <c r="J217" s="8" t="s">
        <v>1483</v>
      </c>
      <c r="K217" s="8" t="s">
        <v>1483</v>
      </c>
      <c r="L217" s="8" t="s">
        <v>1483</v>
      </c>
      <c r="M217" s="8">
        <v>740.09688635713746</v>
      </c>
      <c r="N217" s="8">
        <v>748.61145256270891</v>
      </c>
    </row>
    <row r="218" spans="1:14" x14ac:dyDescent="0.25">
      <c r="A218" s="6" t="s">
        <v>805</v>
      </c>
      <c r="B218" s="7" t="s">
        <v>139</v>
      </c>
      <c r="C218" s="7" t="s">
        <v>140</v>
      </c>
      <c r="D218" s="7" t="s">
        <v>804</v>
      </c>
      <c r="E218" s="8">
        <v>0.1</v>
      </c>
      <c r="F218" s="8">
        <v>-1.1000000000000001</v>
      </c>
      <c r="G218" s="8">
        <v>-1.1000000000000001</v>
      </c>
      <c r="H218" s="8">
        <v>1.4</v>
      </c>
      <c r="I218" s="8">
        <v>-1.5</v>
      </c>
      <c r="J218" s="8" t="s">
        <v>1483</v>
      </c>
      <c r="K218" s="8" t="s">
        <v>1483</v>
      </c>
      <c r="L218" s="8" t="s">
        <v>1483</v>
      </c>
      <c r="M218" s="8" t="s">
        <v>1483</v>
      </c>
      <c r="N218" s="8" t="s">
        <v>1483</v>
      </c>
    </row>
    <row r="219" spans="1:14" x14ac:dyDescent="0.25">
      <c r="A219" s="6" t="s">
        <v>17</v>
      </c>
      <c r="B219" s="7"/>
      <c r="C219" s="7"/>
      <c r="D219" s="7"/>
      <c r="E219" s="8"/>
      <c r="F219" s="8"/>
      <c r="G219" s="8"/>
      <c r="H219" s="8"/>
      <c r="I219" s="8"/>
      <c r="J219" s="8"/>
      <c r="K219" s="8"/>
      <c r="L219" s="8"/>
      <c r="M219" s="8"/>
      <c r="N219" s="8"/>
    </row>
    <row r="220" spans="1:14" x14ac:dyDescent="0.25">
      <c r="A220" s="6" t="s">
        <v>803</v>
      </c>
      <c r="B220" s="7"/>
      <c r="C220" s="7"/>
      <c r="D220" s="7"/>
      <c r="E220" s="8"/>
      <c r="F220" s="8"/>
      <c r="G220" s="8"/>
      <c r="H220" s="8"/>
      <c r="I220" s="8"/>
      <c r="J220" s="8"/>
      <c r="K220" s="8"/>
      <c r="L220" s="8"/>
      <c r="M220" s="8"/>
      <c r="N220" s="8"/>
    </row>
    <row r="221" spans="1:14" x14ac:dyDescent="0.25">
      <c r="A221" s="6" t="s">
        <v>802</v>
      </c>
      <c r="B221" s="7" t="s">
        <v>20</v>
      </c>
      <c r="C221" s="7" t="s">
        <v>21</v>
      </c>
      <c r="D221" s="7" t="s">
        <v>801</v>
      </c>
      <c r="E221" s="8">
        <v>881</v>
      </c>
      <c r="F221" s="8">
        <v>735</v>
      </c>
      <c r="G221" s="8">
        <v>795</v>
      </c>
      <c r="H221" s="8">
        <v>563</v>
      </c>
      <c r="I221" s="8">
        <v>448</v>
      </c>
      <c r="J221" s="8" t="s">
        <v>1483</v>
      </c>
      <c r="K221" s="8" t="s">
        <v>1483</v>
      </c>
      <c r="L221" s="8" t="s">
        <v>1483</v>
      </c>
      <c r="M221" s="8">
        <v>255.31467596588183</v>
      </c>
      <c r="N221" s="8">
        <v>230.39135091900678</v>
      </c>
    </row>
    <row r="222" spans="1:14" x14ac:dyDescent="0.25">
      <c r="A222" s="6" t="s">
        <v>800</v>
      </c>
      <c r="B222" s="7" t="s">
        <v>20</v>
      </c>
      <c r="C222" s="7" t="s">
        <v>21</v>
      </c>
      <c r="D222" s="7" t="s">
        <v>799</v>
      </c>
      <c r="E222" s="8">
        <v>737</v>
      </c>
      <c r="F222" s="8">
        <v>688</v>
      </c>
      <c r="G222" s="8">
        <v>642</v>
      </c>
      <c r="H222" s="8">
        <v>592</v>
      </c>
      <c r="I222" s="8">
        <v>485</v>
      </c>
      <c r="J222" s="8" t="s">
        <v>1483</v>
      </c>
      <c r="K222" s="8" t="s">
        <v>1483</v>
      </c>
      <c r="L222" s="8" t="s">
        <v>1483</v>
      </c>
      <c r="M222" s="8">
        <v>257.16619805953957</v>
      </c>
      <c r="N222" s="8">
        <v>229.22520325358565</v>
      </c>
    </row>
    <row r="223" spans="1:14" x14ac:dyDescent="0.25">
      <c r="A223" s="6" t="s">
        <v>798</v>
      </c>
      <c r="B223" s="7" t="s">
        <v>20</v>
      </c>
      <c r="C223" s="7" t="s">
        <v>21</v>
      </c>
      <c r="D223" s="7" t="s">
        <v>797</v>
      </c>
      <c r="E223" s="8" t="s">
        <v>1483</v>
      </c>
      <c r="F223" s="8" t="s">
        <v>1483</v>
      </c>
      <c r="G223" s="8">
        <v>0</v>
      </c>
      <c r="H223" s="8">
        <v>2385</v>
      </c>
      <c r="I223" s="8">
        <v>2179</v>
      </c>
      <c r="J223" s="8">
        <v>1117</v>
      </c>
      <c r="K223" s="8">
        <v>198</v>
      </c>
      <c r="L223" s="8" t="s">
        <v>1483</v>
      </c>
      <c r="M223" s="8" t="s">
        <v>1483</v>
      </c>
      <c r="N223" s="8" t="s">
        <v>1483</v>
      </c>
    </row>
    <row r="224" spans="1:14" x14ac:dyDescent="0.25">
      <c r="A224" s="6" t="s">
        <v>796</v>
      </c>
      <c r="B224" s="7" t="s">
        <v>20</v>
      </c>
      <c r="C224" s="7" t="s">
        <v>21</v>
      </c>
      <c r="D224" s="7" t="s">
        <v>795</v>
      </c>
      <c r="E224" s="8" t="s">
        <v>1483</v>
      </c>
      <c r="F224" s="8" t="s">
        <v>1483</v>
      </c>
      <c r="G224" s="8">
        <v>0</v>
      </c>
      <c r="H224" s="8">
        <v>634</v>
      </c>
      <c r="I224" s="8">
        <v>120</v>
      </c>
      <c r="J224" s="8">
        <v>0</v>
      </c>
      <c r="K224" s="8">
        <v>0</v>
      </c>
      <c r="L224" s="8">
        <v>0</v>
      </c>
      <c r="M224" s="8" t="s">
        <v>1483</v>
      </c>
      <c r="N224" s="8" t="s">
        <v>1483</v>
      </c>
    </row>
    <row r="225" spans="1:14" x14ac:dyDescent="0.25">
      <c r="A225" s="6" t="s">
        <v>794</v>
      </c>
      <c r="B225" s="7" t="s">
        <v>20</v>
      </c>
      <c r="C225" s="7" t="s">
        <v>21</v>
      </c>
      <c r="D225" s="7" t="s">
        <v>793</v>
      </c>
      <c r="E225" s="8" t="s">
        <v>1483</v>
      </c>
      <c r="F225" s="8" t="s">
        <v>1483</v>
      </c>
      <c r="G225" s="8">
        <v>0</v>
      </c>
      <c r="H225" s="8">
        <v>1751</v>
      </c>
      <c r="I225" s="8">
        <v>2059</v>
      </c>
      <c r="J225" s="8">
        <v>1117</v>
      </c>
      <c r="K225" s="8">
        <v>0</v>
      </c>
      <c r="L225" s="8">
        <v>0</v>
      </c>
      <c r="M225" s="8" t="s">
        <v>1483</v>
      </c>
      <c r="N225" s="8" t="s">
        <v>1483</v>
      </c>
    </row>
    <row r="226" spans="1:14" x14ac:dyDescent="0.25">
      <c r="A226" s="6" t="s">
        <v>17</v>
      </c>
      <c r="B226" s="7"/>
      <c r="C226" s="7"/>
      <c r="D226" s="7"/>
      <c r="E226" s="8"/>
      <c r="F226" s="8"/>
      <c r="G226" s="8"/>
      <c r="H226" s="8"/>
      <c r="I226" s="8"/>
      <c r="J226" s="8"/>
      <c r="K226" s="8"/>
      <c r="L226" s="8"/>
      <c r="M226" s="8"/>
      <c r="N226" s="8"/>
    </row>
    <row r="227" spans="1:14" x14ac:dyDescent="0.25">
      <c r="A227" s="6" t="s">
        <v>792</v>
      </c>
      <c r="B227" s="7"/>
      <c r="C227" s="7"/>
      <c r="D227" s="7"/>
      <c r="E227" s="8"/>
      <c r="F227" s="8"/>
      <c r="G227" s="8"/>
      <c r="H227" s="8"/>
      <c r="I227" s="8"/>
      <c r="J227" s="8"/>
      <c r="K227" s="8"/>
      <c r="L227" s="8"/>
      <c r="M227" s="8"/>
      <c r="N227" s="8"/>
    </row>
    <row r="228" spans="1:14" x14ac:dyDescent="0.25">
      <c r="A228" s="6" t="s">
        <v>17</v>
      </c>
      <c r="B228" s="7"/>
      <c r="C228" s="7"/>
      <c r="D228" s="7"/>
      <c r="E228" s="8"/>
      <c r="F228" s="8"/>
      <c r="G228" s="8"/>
      <c r="H228" s="8"/>
      <c r="I228" s="8"/>
      <c r="J228" s="8"/>
      <c r="K228" s="8"/>
      <c r="L228" s="8"/>
      <c r="M228" s="8"/>
      <c r="N228" s="8"/>
    </row>
    <row r="229" spans="1:14" x14ac:dyDescent="0.25">
      <c r="A229" s="6" t="s">
        <v>791</v>
      </c>
      <c r="B229" s="7"/>
      <c r="C229" s="7"/>
      <c r="D229" s="7"/>
      <c r="E229" s="8"/>
      <c r="F229" s="8"/>
      <c r="G229" s="8"/>
      <c r="H229" s="8"/>
      <c r="I229" s="8"/>
      <c r="J229" s="8"/>
      <c r="K229" s="8"/>
      <c r="L229" s="8"/>
      <c r="M229" s="8"/>
      <c r="N229" s="8"/>
    </row>
    <row r="230" spans="1:14" x14ac:dyDescent="0.25">
      <c r="A230" s="6" t="s">
        <v>747</v>
      </c>
      <c r="B230" s="7"/>
      <c r="C230" s="7"/>
      <c r="D230" s="7"/>
      <c r="E230" s="8"/>
      <c r="F230" s="8"/>
      <c r="G230" s="8"/>
      <c r="H230" s="8"/>
      <c r="I230" s="8"/>
      <c r="J230" s="8"/>
      <c r="K230" s="8"/>
      <c r="L230" s="8"/>
      <c r="M230" s="8"/>
      <c r="N230" s="8"/>
    </row>
    <row r="231" spans="1:14" x14ac:dyDescent="0.25">
      <c r="A231" s="6" t="s">
        <v>790</v>
      </c>
      <c r="B231" s="7" t="s">
        <v>736</v>
      </c>
      <c r="C231" s="7" t="s">
        <v>735</v>
      </c>
      <c r="D231" s="7" t="s">
        <v>789</v>
      </c>
      <c r="E231" s="8" t="s">
        <v>1483</v>
      </c>
      <c r="F231" s="8" t="s">
        <v>1483</v>
      </c>
      <c r="G231" s="8" t="s">
        <v>1483</v>
      </c>
      <c r="H231" s="8" t="s">
        <v>1483</v>
      </c>
      <c r="I231" s="8" t="s">
        <v>1483</v>
      </c>
      <c r="J231" s="8" t="s">
        <v>1483</v>
      </c>
      <c r="K231" s="8" t="s">
        <v>1483</v>
      </c>
      <c r="L231" s="8" t="s">
        <v>1483</v>
      </c>
      <c r="M231" s="8" t="s">
        <v>1483</v>
      </c>
      <c r="N231" s="8" t="s">
        <v>1483</v>
      </c>
    </row>
    <row r="232" spans="1:14" x14ac:dyDescent="0.25">
      <c r="A232" s="6" t="s">
        <v>788</v>
      </c>
      <c r="B232" s="7" t="s">
        <v>736</v>
      </c>
      <c r="C232" s="7" t="s">
        <v>735</v>
      </c>
      <c r="D232" s="7" t="s">
        <v>787</v>
      </c>
      <c r="E232" s="8" t="s">
        <v>1483</v>
      </c>
      <c r="F232" s="8" t="s">
        <v>1483</v>
      </c>
      <c r="G232" s="8" t="s">
        <v>1483</v>
      </c>
      <c r="H232" s="8" t="s">
        <v>1483</v>
      </c>
      <c r="I232" s="8" t="s">
        <v>1483</v>
      </c>
      <c r="J232" s="8" t="s">
        <v>1483</v>
      </c>
      <c r="K232" s="8" t="s">
        <v>1483</v>
      </c>
      <c r="L232" s="8" t="s">
        <v>1483</v>
      </c>
      <c r="M232" s="8" t="s">
        <v>1483</v>
      </c>
      <c r="N232" s="8" t="s">
        <v>1483</v>
      </c>
    </row>
    <row r="233" spans="1:14" x14ac:dyDescent="0.25">
      <c r="A233" s="6" t="s">
        <v>786</v>
      </c>
      <c r="B233" s="7" t="s">
        <v>736</v>
      </c>
      <c r="C233" s="7" t="s">
        <v>735</v>
      </c>
      <c r="D233" s="7" t="s">
        <v>785</v>
      </c>
      <c r="E233" s="8" t="s">
        <v>1483</v>
      </c>
      <c r="F233" s="8" t="s">
        <v>1483</v>
      </c>
      <c r="G233" s="8" t="s">
        <v>1483</v>
      </c>
      <c r="H233" s="8" t="s">
        <v>1483</v>
      </c>
      <c r="I233" s="8" t="s">
        <v>1483</v>
      </c>
      <c r="J233" s="8" t="s">
        <v>1483</v>
      </c>
      <c r="K233" s="8" t="s">
        <v>1483</v>
      </c>
      <c r="L233" s="8" t="s">
        <v>1483</v>
      </c>
      <c r="M233" s="8" t="s">
        <v>1483</v>
      </c>
      <c r="N233" s="8" t="s">
        <v>1483</v>
      </c>
    </row>
    <row r="234" spans="1:14" x14ac:dyDescent="0.25">
      <c r="A234" s="6" t="s">
        <v>763</v>
      </c>
      <c r="B234" s="7"/>
      <c r="C234" s="7"/>
      <c r="D234" s="7"/>
      <c r="E234" s="8"/>
      <c r="F234" s="8"/>
      <c r="G234" s="8"/>
      <c r="H234" s="8"/>
      <c r="I234" s="8"/>
      <c r="J234" s="8"/>
      <c r="K234" s="8"/>
      <c r="L234" s="8"/>
      <c r="M234" s="8"/>
      <c r="N234" s="8"/>
    </row>
    <row r="235" spans="1:14" x14ac:dyDescent="0.25">
      <c r="A235" s="6" t="s">
        <v>775</v>
      </c>
      <c r="B235" s="7" t="s">
        <v>722</v>
      </c>
      <c r="C235" s="7" t="s">
        <v>721</v>
      </c>
      <c r="D235" s="7" t="s">
        <v>784</v>
      </c>
      <c r="E235" s="8" t="s">
        <v>1483</v>
      </c>
      <c r="F235" s="8" t="s">
        <v>1483</v>
      </c>
      <c r="G235" s="8" t="s">
        <v>1483</v>
      </c>
      <c r="H235" s="8" t="s">
        <v>1483</v>
      </c>
      <c r="I235" s="8" t="s">
        <v>1483</v>
      </c>
      <c r="J235" s="8" t="s">
        <v>1483</v>
      </c>
      <c r="K235" s="8" t="s">
        <v>1483</v>
      </c>
      <c r="L235" s="8" t="s">
        <v>1483</v>
      </c>
      <c r="M235" s="8" t="s">
        <v>1483</v>
      </c>
      <c r="N235" s="8" t="s">
        <v>1483</v>
      </c>
    </row>
    <row r="236" spans="1:14" x14ac:dyDescent="0.25">
      <c r="A236" s="6" t="s">
        <v>759</v>
      </c>
      <c r="B236" s="7" t="s">
        <v>719</v>
      </c>
      <c r="C236" s="7" t="s">
        <v>718</v>
      </c>
      <c r="D236" s="7" t="s">
        <v>784</v>
      </c>
      <c r="E236" s="8" t="s">
        <v>1483</v>
      </c>
      <c r="F236" s="8" t="s">
        <v>1483</v>
      </c>
      <c r="G236" s="8" t="s">
        <v>1483</v>
      </c>
      <c r="H236" s="8" t="s">
        <v>1483</v>
      </c>
      <c r="I236" s="8" t="s">
        <v>1483</v>
      </c>
      <c r="J236" s="8" t="s">
        <v>1483</v>
      </c>
      <c r="K236" s="8" t="s">
        <v>1483</v>
      </c>
      <c r="L236" s="8" t="s">
        <v>1483</v>
      </c>
      <c r="M236" s="8" t="s">
        <v>1483</v>
      </c>
      <c r="N236" s="8" t="s">
        <v>1483</v>
      </c>
    </row>
    <row r="237" spans="1:14" x14ac:dyDescent="0.25">
      <c r="A237" s="6" t="s">
        <v>716</v>
      </c>
      <c r="B237" s="7" t="s">
        <v>715</v>
      </c>
      <c r="C237" s="7" t="s">
        <v>714</v>
      </c>
      <c r="D237" s="7" t="s">
        <v>784</v>
      </c>
      <c r="E237" s="8" t="s">
        <v>1483</v>
      </c>
      <c r="F237" s="8" t="s">
        <v>1483</v>
      </c>
      <c r="G237" s="8" t="s">
        <v>1483</v>
      </c>
      <c r="H237" s="8" t="s">
        <v>1483</v>
      </c>
      <c r="I237" s="8" t="s">
        <v>1483</v>
      </c>
      <c r="J237" s="8" t="s">
        <v>1483</v>
      </c>
      <c r="K237" s="8" t="s">
        <v>1483</v>
      </c>
      <c r="L237" s="8" t="s">
        <v>1483</v>
      </c>
      <c r="M237" s="8" t="s">
        <v>1483</v>
      </c>
      <c r="N237" s="8" t="s">
        <v>1483</v>
      </c>
    </row>
    <row r="238" spans="1:14" x14ac:dyDescent="0.25">
      <c r="A238" s="6" t="s">
        <v>758</v>
      </c>
      <c r="B238" s="7" t="s">
        <v>757</v>
      </c>
      <c r="C238" s="7" t="s">
        <v>756</v>
      </c>
      <c r="D238" s="7" t="s">
        <v>784</v>
      </c>
      <c r="E238" s="8" t="s">
        <v>1483</v>
      </c>
      <c r="F238" s="8" t="s">
        <v>1483</v>
      </c>
      <c r="G238" s="8" t="s">
        <v>1483</v>
      </c>
      <c r="H238" s="8" t="s">
        <v>1483</v>
      </c>
      <c r="I238" s="8" t="s">
        <v>1483</v>
      </c>
      <c r="J238" s="8" t="s">
        <v>1483</v>
      </c>
      <c r="K238" s="8" t="s">
        <v>1483</v>
      </c>
      <c r="L238" s="8" t="s">
        <v>1483</v>
      </c>
      <c r="M238" s="8" t="s">
        <v>1483</v>
      </c>
      <c r="N238" s="8" t="s">
        <v>1483</v>
      </c>
    </row>
    <row r="239" spans="1:14" x14ac:dyDescent="0.25">
      <c r="A239" s="6" t="s">
        <v>755</v>
      </c>
      <c r="B239" s="7" t="s">
        <v>754</v>
      </c>
      <c r="C239" s="7" t="s">
        <v>753</v>
      </c>
      <c r="D239" s="7" t="s">
        <v>784</v>
      </c>
      <c r="E239" s="8" t="s">
        <v>1483</v>
      </c>
      <c r="F239" s="8" t="s">
        <v>1483</v>
      </c>
      <c r="G239" s="8" t="s">
        <v>1483</v>
      </c>
      <c r="H239" s="8" t="s">
        <v>1483</v>
      </c>
      <c r="I239" s="8" t="s">
        <v>1483</v>
      </c>
      <c r="J239" s="8" t="s">
        <v>1483</v>
      </c>
      <c r="K239" s="8" t="s">
        <v>1483</v>
      </c>
      <c r="L239" s="8" t="s">
        <v>1483</v>
      </c>
      <c r="M239" s="8" t="s">
        <v>1483</v>
      </c>
      <c r="N239" s="8" t="s">
        <v>1483</v>
      </c>
    </row>
    <row r="240" spans="1:14" x14ac:dyDescent="0.25">
      <c r="A240" s="6" t="s">
        <v>752</v>
      </c>
      <c r="B240" s="7" t="s">
        <v>751</v>
      </c>
      <c r="C240" s="7" t="s">
        <v>750</v>
      </c>
      <c r="D240" s="7" t="s">
        <v>784</v>
      </c>
      <c r="E240" s="8" t="s">
        <v>1483</v>
      </c>
      <c r="F240" s="8" t="s">
        <v>1483</v>
      </c>
      <c r="G240" s="8" t="s">
        <v>1483</v>
      </c>
      <c r="H240" s="8" t="s">
        <v>1483</v>
      </c>
      <c r="I240" s="8" t="s">
        <v>1483</v>
      </c>
      <c r="J240" s="8" t="s">
        <v>1483</v>
      </c>
      <c r="K240" s="8" t="s">
        <v>1483</v>
      </c>
      <c r="L240" s="8" t="s">
        <v>1483</v>
      </c>
      <c r="M240" s="8" t="s">
        <v>1483</v>
      </c>
      <c r="N240" s="8" t="s">
        <v>1483</v>
      </c>
    </row>
    <row r="241" spans="1:14" x14ac:dyDescent="0.25">
      <c r="A241" s="6" t="s">
        <v>713</v>
      </c>
      <c r="B241" s="7" t="s">
        <v>20</v>
      </c>
      <c r="C241" s="7" t="s">
        <v>21</v>
      </c>
      <c r="D241" s="7" t="s">
        <v>784</v>
      </c>
      <c r="E241" s="8" t="s">
        <v>1483</v>
      </c>
      <c r="F241" s="8" t="s">
        <v>1483</v>
      </c>
      <c r="G241" s="8" t="s">
        <v>1483</v>
      </c>
      <c r="H241" s="8" t="s">
        <v>1483</v>
      </c>
      <c r="I241" s="8" t="s">
        <v>1483</v>
      </c>
      <c r="J241" s="8" t="s">
        <v>1483</v>
      </c>
      <c r="K241" s="8" t="s">
        <v>1483</v>
      </c>
      <c r="L241" s="8" t="s">
        <v>1483</v>
      </c>
      <c r="M241" s="8" t="s">
        <v>1483</v>
      </c>
      <c r="N241" s="8" t="s">
        <v>1483</v>
      </c>
    </row>
    <row r="242" spans="1:14" x14ac:dyDescent="0.25">
      <c r="A242" s="6" t="s">
        <v>761</v>
      </c>
      <c r="B242" s="7"/>
      <c r="C242" s="7"/>
      <c r="D242" s="7"/>
      <c r="E242" s="8"/>
      <c r="F242" s="8"/>
      <c r="G242" s="8"/>
      <c r="H242" s="8"/>
      <c r="I242" s="8"/>
      <c r="J242" s="8"/>
      <c r="K242" s="8"/>
      <c r="L242" s="8"/>
      <c r="M242" s="8"/>
      <c r="N242" s="8"/>
    </row>
    <row r="243" spans="1:14" x14ac:dyDescent="0.25">
      <c r="A243" s="6" t="s">
        <v>775</v>
      </c>
      <c r="B243" s="7" t="s">
        <v>722</v>
      </c>
      <c r="C243" s="7" t="s">
        <v>721</v>
      </c>
      <c r="D243" s="7" t="s">
        <v>783</v>
      </c>
      <c r="E243" s="8" t="s">
        <v>1483</v>
      </c>
      <c r="F243" s="8" t="s">
        <v>1483</v>
      </c>
      <c r="G243" s="8" t="s">
        <v>1483</v>
      </c>
      <c r="H243" s="8" t="s">
        <v>1483</v>
      </c>
      <c r="I243" s="8" t="s">
        <v>1483</v>
      </c>
      <c r="J243" s="8" t="s">
        <v>1483</v>
      </c>
      <c r="K243" s="8" t="s">
        <v>1483</v>
      </c>
      <c r="L243" s="8" t="s">
        <v>1483</v>
      </c>
      <c r="M243" s="8" t="s">
        <v>1483</v>
      </c>
      <c r="N243" s="8" t="s">
        <v>1483</v>
      </c>
    </row>
    <row r="244" spans="1:14" x14ac:dyDescent="0.25">
      <c r="A244" s="6" t="s">
        <v>759</v>
      </c>
      <c r="B244" s="7" t="s">
        <v>719</v>
      </c>
      <c r="C244" s="7" t="s">
        <v>718</v>
      </c>
      <c r="D244" s="7" t="s">
        <v>783</v>
      </c>
      <c r="E244" s="8" t="s">
        <v>1483</v>
      </c>
      <c r="F244" s="8" t="s">
        <v>1483</v>
      </c>
      <c r="G244" s="8" t="s">
        <v>1483</v>
      </c>
      <c r="H244" s="8" t="s">
        <v>1483</v>
      </c>
      <c r="I244" s="8" t="s">
        <v>1483</v>
      </c>
      <c r="J244" s="8" t="s">
        <v>1483</v>
      </c>
      <c r="K244" s="8" t="s">
        <v>1483</v>
      </c>
      <c r="L244" s="8" t="s">
        <v>1483</v>
      </c>
      <c r="M244" s="8" t="s">
        <v>1483</v>
      </c>
      <c r="N244" s="8" t="s">
        <v>1483</v>
      </c>
    </row>
    <row r="245" spans="1:14" x14ac:dyDescent="0.25">
      <c r="A245" s="6" t="s">
        <v>716</v>
      </c>
      <c r="B245" s="7" t="s">
        <v>715</v>
      </c>
      <c r="C245" s="7" t="s">
        <v>714</v>
      </c>
      <c r="D245" s="7" t="s">
        <v>783</v>
      </c>
      <c r="E245" s="8" t="s">
        <v>1483</v>
      </c>
      <c r="F245" s="8" t="s">
        <v>1483</v>
      </c>
      <c r="G245" s="8" t="s">
        <v>1483</v>
      </c>
      <c r="H245" s="8" t="s">
        <v>1483</v>
      </c>
      <c r="I245" s="8" t="s">
        <v>1483</v>
      </c>
      <c r="J245" s="8" t="s">
        <v>1483</v>
      </c>
      <c r="K245" s="8" t="s">
        <v>1483</v>
      </c>
      <c r="L245" s="8" t="s">
        <v>1483</v>
      </c>
      <c r="M245" s="8" t="s">
        <v>1483</v>
      </c>
      <c r="N245" s="8" t="s">
        <v>1483</v>
      </c>
    </row>
    <row r="246" spans="1:14" x14ac:dyDescent="0.25">
      <c r="A246" s="6" t="s">
        <v>758</v>
      </c>
      <c r="B246" s="7" t="s">
        <v>757</v>
      </c>
      <c r="C246" s="7" t="s">
        <v>756</v>
      </c>
      <c r="D246" s="7" t="s">
        <v>783</v>
      </c>
      <c r="E246" s="8" t="s">
        <v>1483</v>
      </c>
      <c r="F246" s="8" t="s">
        <v>1483</v>
      </c>
      <c r="G246" s="8" t="s">
        <v>1483</v>
      </c>
      <c r="H246" s="8" t="s">
        <v>1483</v>
      </c>
      <c r="I246" s="8" t="s">
        <v>1483</v>
      </c>
      <c r="J246" s="8" t="s">
        <v>1483</v>
      </c>
      <c r="K246" s="8" t="s">
        <v>1483</v>
      </c>
      <c r="L246" s="8" t="s">
        <v>1483</v>
      </c>
      <c r="M246" s="8" t="s">
        <v>1483</v>
      </c>
      <c r="N246" s="8" t="s">
        <v>1483</v>
      </c>
    </row>
    <row r="247" spans="1:14" x14ac:dyDescent="0.25">
      <c r="A247" s="6" t="s">
        <v>755</v>
      </c>
      <c r="B247" s="7" t="s">
        <v>754</v>
      </c>
      <c r="C247" s="7" t="s">
        <v>753</v>
      </c>
      <c r="D247" s="7" t="s">
        <v>783</v>
      </c>
      <c r="E247" s="8" t="s">
        <v>1483</v>
      </c>
      <c r="F247" s="8" t="s">
        <v>1483</v>
      </c>
      <c r="G247" s="8" t="s">
        <v>1483</v>
      </c>
      <c r="H247" s="8" t="s">
        <v>1483</v>
      </c>
      <c r="I247" s="8" t="s">
        <v>1483</v>
      </c>
      <c r="J247" s="8" t="s">
        <v>1483</v>
      </c>
      <c r="K247" s="8" t="s">
        <v>1483</v>
      </c>
      <c r="L247" s="8" t="s">
        <v>1483</v>
      </c>
      <c r="M247" s="8" t="s">
        <v>1483</v>
      </c>
      <c r="N247" s="8" t="s">
        <v>1483</v>
      </c>
    </row>
    <row r="248" spans="1:14" x14ac:dyDescent="0.25">
      <c r="A248" s="6" t="s">
        <v>752</v>
      </c>
      <c r="B248" s="7" t="s">
        <v>751</v>
      </c>
      <c r="C248" s="7" t="s">
        <v>750</v>
      </c>
      <c r="D248" s="7" t="s">
        <v>783</v>
      </c>
      <c r="E248" s="8" t="s">
        <v>1483</v>
      </c>
      <c r="F248" s="8" t="s">
        <v>1483</v>
      </c>
      <c r="G248" s="8" t="s">
        <v>1483</v>
      </c>
      <c r="H248" s="8" t="s">
        <v>1483</v>
      </c>
      <c r="I248" s="8" t="s">
        <v>1483</v>
      </c>
      <c r="J248" s="8" t="s">
        <v>1483</v>
      </c>
      <c r="K248" s="8" t="s">
        <v>1483</v>
      </c>
      <c r="L248" s="8" t="s">
        <v>1483</v>
      </c>
      <c r="M248" s="8" t="s">
        <v>1483</v>
      </c>
      <c r="N248" s="8" t="s">
        <v>1483</v>
      </c>
    </row>
    <row r="249" spans="1:14" x14ac:dyDescent="0.25">
      <c r="A249" s="6" t="s">
        <v>713</v>
      </c>
      <c r="B249" s="7" t="s">
        <v>20</v>
      </c>
      <c r="C249" s="7" t="s">
        <v>21</v>
      </c>
      <c r="D249" s="7" t="s">
        <v>783</v>
      </c>
      <c r="E249" s="8" t="s">
        <v>1483</v>
      </c>
      <c r="F249" s="8" t="s">
        <v>1483</v>
      </c>
      <c r="G249" s="8" t="s">
        <v>1483</v>
      </c>
      <c r="H249" s="8" t="s">
        <v>1483</v>
      </c>
      <c r="I249" s="8" t="s">
        <v>1483</v>
      </c>
      <c r="J249" s="8" t="s">
        <v>1483</v>
      </c>
      <c r="K249" s="8" t="s">
        <v>1483</v>
      </c>
      <c r="L249" s="8" t="s">
        <v>1483</v>
      </c>
      <c r="M249" s="8" t="s">
        <v>1483</v>
      </c>
      <c r="N249" s="8" t="s">
        <v>1483</v>
      </c>
    </row>
    <row r="250" spans="1:14" x14ac:dyDescent="0.25">
      <c r="A250" s="6" t="s">
        <v>17</v>
      </c>
      <c r="B250" s="7"/>
      <c r="C250" s="7"/>
      <c r="D250" s="7"/>
      <c r="E250" s="8"/>
      <c r="F250" s="8"/>
      <c r="G250" s="8"/>
      <c r="H250" s="8"/>
      <c r="I250" s="8"/>
      <c r="J250" s="8"/>
      <c r="K250" s="8"/>
      <c r="L250" s="8"/>
      <c r="M250" s="8"/>
      <c r="N250" s="8"/>
    </row>
    <row r="251" spans="1:14" x14ac:dyDescent="0.25">
      <c r="A251" s="6" t="s">
        <v>782</v>
      </c>
      <c r="B251" s="7"/>
      <c r="C251" s="7"/>
      <c r="D251" s="7"/>
      <c r="E251" s="8"/>
      <c r="F251" s="8"/>
      <c r="G251" s="8"/>
      <c r="H251" s="8"/>
      <c r="I251" s="8"/>
      <c r="J251" s="8"/>
      <c r="K251" s="8"/>
      <c r="L251" s="8"/>
      <c r="M251" s="8"/>
      <c r="N251" s="8"/>
    </row>
    <row r="252" spans="1:14" x14ac:dyDescent="0.25">
      <c r="A252" s="6" t="s">
        <v>747</v>
      </c>
      <c r="B252" s="7"/>
      <c r="C252" s="7"/>
      <c r="D252" s="7"/>
      <c r="E252" s="8"/>
      <c r="F252" s="8"/>
      <c r="G252" s="8"/>
      <c r="H252" s="8"/>
      <c r="I252" s="8"/>
      <c r="J252" s="8"/>
      <c r="K252" s="8"/>
      <c r="L252" s="8"/>
      <c r="M252" s="8"/>
      <c r="N252" s="8"/>
    </row>
    <row r="253" spans="1:14" x14ac:dyDescent="0.25">
      <c r="A253" s="6" t="s">
        <v>781</v>
      </c>
      <c r="B253" s="7" t="s">
        <v>736</v>
      </c>
      <c r="C253" s="7" t="s">
        <v>735</v>
      </c>
      <c r="D253" s="7" t="s">
        <v>780</v>
      </c>
      <c r="E253" s="8" t="s">
        <v>1483</v>
      </c>
      <c r="F253" s="8" t="s">
        <v>1483</v>
      </c>
      <c r="G253" s="8" t="s">
        <v>1483</v>
      </c>
      <c r="H253" s="8" t="s">
        <v>1483</v>
      </c>
      <c r="I253" s="8" t="s">
        <v>1483</v>
      </c>
      <c r="J253" s="8" t="s">
        <v>1483</v>
      </c>
      <c r="K253" s="8" t="s">
        <v>1483</v>
      </c>
      <c r="L253" s="8" t="s">
        <v>1483</v>
      </c>
      <c r="M253" s="8" t="s">
        <v>1483</v>
      </c>
      <c r="N253" s="8" t="s">
        <v>1483</v>
      </c>
    </row>
    <row r="254" spans="1:14" x14ac:dyDescent="0.25">
      <c r="A254" s="6" t="s">
        <v>779</v>
      </c>
      <c r="B254" s="7" t="s">
        <v>736</v>
      </c>
      <c r="C254" s="7" t="s">
        <v>735</v>
      </c>
      <c r="D254" s="7" t="s">
        <v>778</v>
      </c>
      <c r="E254" s="8" t="s">
        <v>1483</v>
      </c>
      <c r="F254" s="8" t="s">
        <v>1483</v>
      </c>
      <c r="G254" s="8" t="s">
        <v>1483</v>
      </c>
      <c r="H254" s="8" t="s">
        <v>1483</v>
      </c>
      <c r="I254" s="8" t="s">
        <v>1483</v>
      </c>
      <c r="J254" s="8" t="s">
        <v>1483</v>
      </c>
      <c r="K254" s="8" t="s">
        <v>1483</v>
      </c>
      <c r="L254" s="8" t="s">
        <v>1483</v>
      </c>
      <c r="M254" s="8" t="s">
        <v>1483</v>
      </c>
      <c r="N254" s="8" t="s">
        <v>1483</v>
      </c>
    </row>
    <row r="255" spans="1:14" x14ac:dyDescent="0.25">
      <c r="A255" s="6" t="s">
        <v>777</v>
      </c>
      <c r="B255" s="7" t="s">
        <v>736</v>
      </c>
      <c r="C255" s="7" t="s">
        <v>735</v>
      </c>
      <c r="D255" s="7" t="s">
        <v>776</v>
      </c>
      <c r="E255" s="8" t="s">
        <v>1483</v>
      </c>
      <c r="F255" s="8" t="s">
        <v>1483</v>
      </c>
      <c r="G255" s="8" t="s">
        <v>1483</v>
      </c>
      <c r="H255" s="8" t="s">
        <v>1483</v>
      </c>
      <c r="I255" s="8" t="s">
        <v>1483</v>
      </c>
      <c r="J255" s="8" t="s">
        <v>1483</v>
      </c>
      <c r="K255" s="8" t="s">
        <v>1483</v>
      </c>
      <c r="L255" s="8" t="s">
        <v>1483</v>
      </c>
      <c r="M255" s="8" t="s">
        <v>1483</v>
      </c>
      <c r="N255" s="8" t="s">
        <v>1483</v>
      </c>
    </row>
    <row r="256" spans="1:14" x14ac:dyDescent="0.25">
      <c r="A256" s="6" t="s">
        <v>763</v>
      </c>
      <c r="B256" s="7"/>
      <c r="C256" s="7"/>
      <c r="D256" s="7"/>
      <c r="E256" s="8"/>
      <c r="F256" s="8"/>
      <c r="G256" s="8"/>
      <c r="H256" s="8"/>
      <c r="I256" s="8"/>
      <c r="J256" s="8"/>
      <c r="K256" s="8"/>
      <c r="L256" s="8"/>
      <c r="M256" s="8"/>
      <c r="N256" s="8"/>
    </row>
    <row r="257" spans="1:14" x14ac:dyDescent="0.25">
      <c r="A257" s="6" t="s">
        <v>775</v>
      </c>
      <c r="B257" s="7" t="s">
        <v>722</v>
      </c>
      <c r="C257" s="7" t="s">
        <v>721</v>
      </c>
      <c r="D257" s="7" t="s">
        <v>774</v>
      </c>
      <c r="E257" s="8" t="s">
        <v>1483</v>
      </c>
      <c r="F257" s="8" t="s">
        <v>1483</v>
      </c>
      <c r="G257" s="8" t="s">
        <v>1483</v>
      </c>
      <c r="H257" s="8" t="s">
        <v>1483</v>
      </c>
      <c r="I257" s="8" t="s">
        <v>1483</v>
      </c>
      <c r="J257" s="8" t="s">
        <v>1483</v>
      </c>
      <c r="K257" s="8" t="s">
        <v>1483</v>
      </c>
      <c r="L257" s="8" t="s">
        <v>1483</v>
      </c>
      <c r="M257" s="8" t="s">
        <v>1483</v>
      </c>
      <c r="N257" s="8" t="s">
        <v>1483</v>
      </c>
    </row>
    <row r="258" spans="1:14" x14ac:dyDescent="0.25">
      <c r="A258" s="6" t="s">
        <v>759</v>
      </c>
      <c r="B258" s="7" t="s">
        <v>719</v>
      </c>
      <c r="C258" s="7" t="s">
        <v>718</v>
      </c>
      <c r="D258" s="7" t="s">
        <v>774</v>
      </c>
      <c r="E258" s="8" t="s">
        <v>1483</v>
      </c>
      <c r="F258" s="8" t="s">
        <v>1483</v>
      </c>
      <c r="G258" s="8" t="s">
        <v>1483</v>
      </c>
      <c r="H258" s="8" t="s">
        <v>1483</v>
      </c>
      <c r="I258" s="8" t="s">
        <v>1483</v>
      </c>
      <c r="J258" s="8" t="s">
        <v>1483</v>
      </c>
      <c r="K258" s="8" t="s">
        <v>1483</v>
      </c>
      <c r="L258" s="8" t="s">
        <v>1483</v>
      </c>
      <c r="M258" s="8" t="s">
        <v>1483</v>
      </c>
      <c r="N258" s="8" t="s">
        <v>1483</v>
      </c>
    </row>
    <row r="259" spans="1:14" x14ac:dyDescent="0.25">
      <c r="A259" s="6" t="s">
        <v>716</v>
      </c>
      <c r="B259" s="7" t="s">
        <v>715</v>
      </c>
      <c r="C259" s="7" t="s">
        <v>714</v>
      </c>
      <c r="D259" s="7" t="s">
        <v>774</v>
      </c>
      <c r="E259" s="8" t="s">
        <v>1483</v>
      </c>
      <c r="F259" s="8" t="s">
        <v>1483</v>
      </c>
      <c r="G259" s="8" t="s">
        <v>1483</v>
      </c>
      <c r="H259" s="8" t="s">
        <v>1483</v>
      </c>
      <c r="I259" s="8" t="s">
        <v>1483</v>
      </c>
      <c r="J259" s="8" t="s">
        <v>1483</v>
      </c>
      <c r="K259" s="8" t="s">
        <v>1483</v>
      </c>
      <c r="L259" s="8" t="s">
        <v>1483</v>
      </c>
      <c r="M259" s="8" t="s">
        <v>1483</v>
      </c>
      <c r="N259" s="8" t="s">
        <v>1483</v>
      </c>
    </row>
    <row r="260" spans="1:14" x14ac:dyDescent="0.25">
      <c r="A260" s="6" t="s">
        <v>758</v>
      </c>
      <c r="B260" s="7" t="s">
        <v>757</v>
      </c>
      <c r="C260" s="7" t="s">
        <v>756</v>
      </c>
      <c r="D260" s="7" t="s">
        <v>774</v>
      </c>
      <c r="E260" s="8" t="s">
        <v>1483</v>
      </c>
      <c r="F260" s="8" t="s">
        <v>1483</v>
      </c>
      <c r="G260" s="8" t="s">
        <v>1483</v>
      </c>
      <c r="H260" s="8" t="s">
        <v>1483</v>
      </c>
      <c r="I260" s="8" t="s">
        <v>1483</v>
      </c>
      <c r="J260" s="8" t="s">
        <v>1483</v>
      </c>
      <c r="K260" s="8" t="s">
        <v>1483</v>
      </c>
      <c r="L260" s="8" t="s">
        <v>1483</v>
      </c>
      <c r="M260" s="8" t="s">
        <v>1483</v>
      </c>
      <c r="N260" s="8" t="s">
        <v>1483</v>
      </c>
    </row>
    <row r="261" spans="1:14" x14ac:dyDescent="0.25">
      <c r="A261" s="6" t="s">
        <v>755</v>
      </c>
      <c r="B261" s="7" t="s">
        <v>754</v>
      </c>
      <c r="C261" s="7" t="s">
        <v>753</v>
      </c>
      <c r="D261" s="7" t="s">
        <v>774</v>
      </c>
      <c r="E261" s="8" t="s">
        <v>1483</v>
      </c>
      <c r="F261" s="8" t="s">
        <v>1483</v>
      </c>
      <c r="G261" s="8" t="s">
        <v>1483</v>
      </c>
      <c r="H261" s="8" t="s">
        <v>1483</v>
      </c>
      <c r="I261" s="8" t="s">
        <v>1483</v>
      </c>
      <c r="J261" s="8" t="s">
        <v>1483</v>
      </c>
      <c r="K261" s="8" t="s">
        <v>1483</v>
      </c>
      <c r="L261" s="8" t="s">
        <v>1483</v>
      </c>
      <c r="M261" s="8" t="s">
        <v>1483</v>
      </c>
      <c r="N261" s="8" t="s">
        <v>1483</v>
      </c>
    </row>
    <row r="262" spans="1:14" x14ac:dyDescent="0.25">
      <c r="A262" s="6" t="s">
        <v>752</v>
      </c>
      <c r="B262" s="7" t="s">
        <v>751</v>
      </c>
      <c r="C262" s="7" t="s">
        <v>750</v>
      </c>
      <c r="D262" s="7" t="s">
        <v>774</v>
      </c>
      <c r="E262" s="8" t="s">
        <v>1483</v>
      </c>
      <c r="F262" s="8" t="s">
        <v>1483</v>
      </c>
      <c r="G262" s="8" t="s">
        <v>1483</v>
      </c>
      <c r="H262" s="8" t="s">
        <v>1483</v>
      </c>
      <c r="I262" s="8" t="s">
        <v>1483</v>
      </c>
      <c r="J262" s="8" t="s">
        <v>1483</v>
      </c>
      <c r="K262" s="8" t="s">
        <v>1483</v>
      </c>
      <c r="L262" s="8" t="s">
        <v>1483</v>
      </c>
      <c r="M262" s="8" t="s">
        <v>1483</v>
      </c>
      <c r="N262" s="8" t="s">
        <v>1483</v>
      </c>
    </row>
    <row r="263" spans="1:14" x14ac:dyDescent="0.25">
      <c r="A263" s="6" t="s">
        <v>713</v>
      </c>
      <c r="B263" s="7" t="s">
        <v>20</v>
      </c>
      <c r="C263" s="7" t="s">
        <v>21</v>
      </c>
      <c r="D263" s="7" t="s">
        <v>774</v>
      </c>
      <c r="E263" s="8" t="s">
        <v>1483</v>
      </c>
      <c r="F263" s="8" t="s">
        <v>1483</v>
      </c>
      <c r="G263" s="8" t="s">
        <v>1483</v>
      </c>
      <c r="H263" s="8" t="s">
        <v>1483</v>
      </c>
      <c r="I263" s="8" t="s">
        <v>1483</v>
      </c>
      <c r="J263" s="8" t="s">
        <v>1483</v>
      </c>
      <c r="K263" s="8" t="s">
        <v>1483</v>
      </c>
      <c r="L263" s="8" t="s">
        <v>1483</v>
      </c>
      <c r="M263" s="8" t="s">
        <v>1483</v>
      </c>
      <c r="N263" s="8" t="s">
        <v>1483</v>
      </c>
    </row>
    <row r="264" spans="1:14" x14ac:dyDescent="0.25">
      <c r="A264" s="6" t="s">
        <v>761</v>
      </c>
      <c r="B264" s="7"/>
      <c r="C264" s="7"/>
      <c r="D264" s="7"/>
      <c r="E264" s="8"/>
      <c r="F264" s="8"/>
      <c r="G264" s="8"/>
      <c r="H264" s="8"/>
      <c r="I264" s="8"/>
      <c r="J264" s="8"/>
      <c r="K264" s="8"/>
      <c r="L264" s="8"/>
      <c r="M264" s="8"/>
      <c r="N264" s="8"/>
    </row>
    <row r="265" spans="1:14" x14ac:dyDescent="0.25">
      <c r="A265" s="6" t="s">
        <v>760</v>
      </c>
      <c r="B265" s="7" t="s">
        <v>722</v>
      </c>
      <c r="C265" s="7" t="s">
        <v>721</v>
      </c>
      <c r="D265" s="7" t="s">
        <v>773</v>
      </c>
      <c r="E265" s="8" t="s">
        <v>1483</v>
      </c>
      <c r="F265" s="8" t="s">
        <v>1483</v>
      </c>
      <c r="G265" s="8" t="s">
        <v>1483</v>
      </c>
      <c r="H265" s="8" t="s">
        <v>1483</v>
      </c>
      <c r="I265" s="8" t="s">
        <v>1483</v>
      </c>
      <c r="J265" s="8" t="s">
        <v>1483</v>
      </c>
      <c r="K265" s="8" t="s">
        <v>1483</v>
      </c>
      <c r="L265" s="8" t="s">
        <v>1483</v>
      </c>
      <c r="M265" s="8" t="s">
        <v>1483</v>
      </c>
      <c r="N265" s="8" t="s">
        <v>1483</v>
      </c>
    </row>
    <row r="266" spans="1:14" x14ac:dyDescent="0.25">
      <c r="A266" s="6" t="s">
        <v>759</v>
      </c>
      <c r="B266" s="7" t="s">
        <v>719</v>
      </c>
      <c r="C266" s="7" t="s">
        <v>718</v>
      </c>
      <c r="D266" s="7" t="s">
        <v>773</v>
      </c>
      <c r="E266" s="8" t="s">
        <v>1483</v>
      </c>
      <c r="F266" s="8" t="s">
        <v>1483</v>
      </c>
      <c r="G266" s="8" t="s">
        <v>1483</v>
      </c>
      <c r="H266" s="8" t="s">
        <v>1483</v>
      </c>
      <c r="I266" s="8" t="s">
        <v>1483</v>
      </c>
      <c r="J266" s="8" t="s">
        <v>1483</v>
      </c>
      <c r="K266" s="8" t="s">
        <v>1483</v>
      </c>
      <c r="L266" s="8" t="s">
        <v>1483</v>
      </c>
      <c r="M266" s="8" t="s">
        <v>1483</v>
      </c>
      <c r="N266" s="8" t="s">
        <v>1483</v>
      </c>
    </row>
    <row r="267" spans="1:14" x14ac:dyDescent="0.25">
      <c r="A267" s="6" t="s">
        <v>716</v>
      </c>
      <c r="B267" s="7" t="s">
        <v>715</v>
      </c>
      <c r="C267" s="7" t="s">
        <v>714</v>
      </c>
      <c r="D267" s="7" t="s">
        <v>773</v>
      </c>
      <c r="E267" s="8" t="s">
        <v>1483</v>
      </c>
      <c r="F267" s="8" t="s">
        <v>1483</v>
      </c>
      <c r="G267" s="8" t="s">
        <v>1483</v>
      </c>
      <c r="H267" s="8" t="s">
        <v>1483</v>
      </c>
      <c r="I267" s="8" t="s">
        <v>1483</v>
      </c>
      <c r="J267" s="8" t="s">
        <v>1483</v>
      </c>
      <c r="K267" s="8" t="s">
        <v>1483</v>
      </c>
      <c r="L267" s="8" t="s">
        <v>1483</v>
      </c>
      <c r="M267" s="8" t="s">
        <v>1483</v>
      </c>
      <c r="N267" s="8" t="s">
        <v>1483</v>
      </c>
    </row>
    <row r="268" spans="1:14" x14ac:dyDescent="0.25">
      <c r="A268" s="6" t="s">
        <v>758</v>
      </c>
      <c r="B268" s="7" t="s">
        <v>757</v>
      </c>
      <c r="C268" s="7" t="s">
        <v>756</v>
      </c>
      <c r="D268" s="7" t="s">
        <v>773</v>
      </c>
      <c r="E268" s="8" t="s">
        <v>1483</v>
      </c>
      <c r="F268" s="8" t="s">
        <v>1483</v>
      </c>
      <c r="G268" s="8" t="s">
        <v>1483</v>
      </c>
      <c r="H268" s="8" t="s">
        <v>1483</v>
      </c>
      <c r="I268" s="8" t="s">
        <v>1483</v>
      </c>
      <c r="J268" s="8" t="s">
        <v>1483</v>
      </c>
      <c r="K268" s="8" t="s">
        <v>1483</v>
      </c>
      <c r="L268" s="8" t="s">
        <v>1483</v>
      </c>
      <c r="M268" s="8" t="s">
        <v>1483</v>
      </c>
      <c r="N268" s="8" t="s">
        <v>1483</v>
      </c>
    </row>
    <row r="269" spans="1:14" x14ac:dyDescent="0.25">
      <c r="A269" s="6" t="s">
        <v>755</v>
      </c>
      <c r="B269" s="7" t="s">
        <v>754</v>
      </c>
      <c r="C269" s="7" t="s">
        <v>753</v>
      </c>
      <c r="D269" s="7" t="s">
        <v>773</v>
      </c>
      <c r="E269" s="8" t="s">
        <v>1483</v>
      </c>
      <c r="F269" s="8" t="s">
        <v>1483</v>
      </c>
      <c r="G269" s="8" t="s">
        <v>1483</v>
      </c>
      <c r="H269" s="8" t="s">
        <v>1483</v>
      </c>
      <c r="I269" s="8" t="s">
        <v>1483</v>
      </c>
      <c r="J269" s="8" t="s">
        <v>1483</v>
      </c>
      <c r="K269" s="8" t="s">
        <v>1483</v>
      </c>
      <c r="L269" s="8" t="s">
        <v>1483</v>
      </c>
      <c r="M269" s="8" t="s">
        <v>1483</v>
      </c>
      <c r="N269" s="8" t="s">
        <v>1483</v>
      </c>
    </row>
    <row r="270" spans="1:14" x14ac:dyDescent="0.25">
      <c r="A270" s="6" t="s">
        <v>752</v>
      </c>
      <c r="B270" s="7" t="s">
        <v>751</v>
      </c>
      <c r="C270" s="7" t="s">
        <v>750</v>
      </c>
      <c r="D270" s="7" t="s">
        <v>773</v>
      </c>
      <c r="E270" s="8" t="s">
        <v>1483</v>
      </c>
      <c r="F270" s="8" t="s">
        <v>1483</v>
      </c>
      <c r="G270" s="8" t="s">
        <v>1483</v>
      </c>
      <c r="H270" s="8" t="s">
        <v>1483</v>
      </c>
      <c r="I270" s="8" t="s">
        <v>1483</v>
      </c>
      <c r="J270" s="8" t="s">
        <v>1483</v>
      </c>
      <c r="K270" s="8" t="s">
        <v>1483</v>
      </c>
      <c r="L270" s="8" t="s">
        <v>1483</v>
      </c>
      <c r="M270" s="8" t="s">
        <v>1483</v>
      </c>
      <c r="N270" s="8" t="s">
        <v>1483</v>
      </c>
    </row>
    <row r="271" spans="1:14" x14ac:dyDescent="0.25">
      <c r="A271" s="6" t="s">
        <v>713</v>
      </c>
      <c r="B271" s="7" t="s">
        <v>20</v>
      </c>
      <c r="C271" s="7" t="s">
        <v>21</v>
      </c>
      <c r="D271" s="7" t="s">
        <v>773</v>
      </c>
      <c r="E271" s="8" t="s">
        <v>1483</v>
      </c>
      <c r="F271" s="8" t="s">
        <v>1483</v>
      </c>
      <c r="G271" s="8" t="s">
        <v>1483</v>
      </c>
      <c r="H271" s="8" t="s">
        <v>1483</v>
      </c>
      <c r="I271" s="8" t="s">
        <v>1483</v>
      </c>
      <c r="J271" s="8" t="s">
        <v>1483</v>
      </c>
      <c r="K271" s="8" t="s">
        <v>1483</v>
      </c>
      <c r="L271" s="8" t="s">
        <v>1483</v>
      </c>
      <c r="M271" s="8" t="s">
        <v>1483</v>
      </c>
      <c r="N271" s="8" t="s">
        <v>1483</v>
      </c>
    </row>
    <row r="272" spans="1:14" x14ac:dyDescent="0.25">
      <c r="A272" s="6" t="s">
        <v>17</v>
      </c>
      <c r="B272" s="7"/>
      <c r="C272" s="7"/>
      <c r="D272" s="7"/>
      <c r="E272" s="8"/>
      <c r="F272" s="8"/>
      <c r="G272" s="8"/>
      <c r="H272" s="8"/>
      <c r="I272" s="8"/>
      <c r="J272" s="8"/>
      <c r="K272" s="8"/>
      <c r="L272" s="8"/>
      <c r="M272" s="8"/>
      <c r="N272" s="8"/>
    </row>
    <row r="273" spans="1:14" x14ac:dyDescent="0.25">
      <c r="A273" s="6" t="s">
        <v>772</v>
      </c>
      <c r="B273" s="7"/>
      <c r="C273" s="7"/>
      <c r="D273" s="7"/>
      <c r="E273" s="8"/>
      <c r="F273" s="8"/>
      <c r="G273" s="8"/>
      <c r="H273" s="8"/>
      <c r="I273" s="8"/>
      <c r="J273" s="8"/>
      <c r="K273" s="8"/>
      <c r="L273" s="8"/>
      <c r="M273" s="8"/>
      <c r="N273" s="8"/>
    </row>
    <row r="274" spans="1:14" x14ac:dyDescent="0.25">
      <c r="A274" s="6" t="s">
        <v>747</v>
      </c>
      <c r="B274" s="7"/>
      <c r="C274" s="7"/>
      <c r="D274" s="7"/>
      <c r="E274" s="8"/>
      <c r="F274" s="8"/>
      <c r="G274" s="8"/>
      <c r="H274" s="8"/>
      <c r="I274" s="8"/>
      <c r="J274" s="8"/>
      <c r="K274" s="8"/>
      <c r="L274" s="8"/>
      <c r="M274" s="8"/>
      <c r="N274" s="8"/>
    </row>
    <row r="275" spans="1:14" x14ac:dyDescent="0.25">
      <c r="A275" s="6" t="s">
        <v>771</v>
      </c>
      <c r="B275" s="7" t="s">
        <v>736</v>
      </c>
      <c r="C275" s="7" t="s">
        <v>735</v>
      </c>
      <c r="D275" s="7" t="s">
        <v>770</v>
      </c>
      <c r="E275" s="8" t="s">
        <v>1483</v>
      </c>
      <c r="F275" s="8" t="s">
        <v>1483</v>
      </c>
      <c r="G275" s="8" t="s">
        <v>1483</v>
      </c>
      <c r="H275" s="8" t="s">
        <v>1483</v>
      </c>
      <c r="I275" s="8" t="s">
        <v>1483</v>
      </c>
      <c r="J275" s="8" t="s">
        <v>1483</v>
      </c>
      <c r="K275" s="8" t="s">
        <v>1483</v>
      </c>
      <c r="L275" s="8" t="s">
        <v>1483</v>
      </c>
      <c r="M275" s="8" t="s">
        <v>1483</v>
      </c>
      <c r="N275" s="8" t="s">
        <v>1483</v>
      </c>
    </row>
    <row r="276" spans="1:14" x14ac:dyDescent="0.25">
      <c r="A276" s="6" t="s">
        <v>769</v>
      </c>
      <c r="B276" s="7" t="s">
        <v>736</v>
      </c>
      <c r="C276" s="7" t="s">
        <v>735</v>
      </c>
      <c r="D276" s="7" t="s">
        <v>768</v>
      </c>
      <c r="E276" s="8" t="s">
        <v>1483</v>
      </c>
      <c r="F276" s="8" t="s">
        <v>1483</v>
      </c>
      <c r="G276" s="8" t="s">
        <v>1483</v>
      </c>
      <c r="H276" s="8" t="s">
        <v>1483</v>
      </c>
      <c r="I276" s="8" t="s">
        <v>1483</v>
      </c>
      <c r="J276" s="8" t="s">
        <v>1483</v>
      </c>
      <c r="K276" s="8" t="s">
        <v>1483</v>
      </c>
      <c r="L276" s="8" t="s">
        <v>1483</v>
      </c>
      <c r="M276" s="8" t="s">
        <v>1483</v>
      </c>
      <c r="N276" s="8" t="s">
        <v>1483</v>
      </c>
    </row>
    <row r="277" spans="1:14" x14ac:dyDescent="0.25">
      <c r="A277" s="6" t="s">
        <v>767</v>
      </c>
      <c r="B277" s="7" t="s">
        <v>736</v>
      </c>
      <c r="C277" s="7" t="s">
        <v>735</v>
      </c>
      <c r="D277" s="7" t="s">
        <v>766</v>
      </c>
      <c r="E277" s="8" t="s">
        <v>1483</v>
      </c>
      <c r="F277" s="8" t="s">
        <v>1483</v>
      </c>
      <c r="G277" s="8" t="s">
        <v>1483</v>
      </c>
      <c r="H277" s="8" t="s">
        <v>1483</v>
      </c>
      <c r="I277" s="8" t="s">
        <v>1483</v>
      </c>
      <c r="J277" s="8" t="s">
        <v>1483</v>
      </c>
      <c r="K277" s="8" t="s">
        <v>1483</v>
      </c>
      <c r="L277" s="8" t="s">
        <v>1483</v>
      </c>
      <c r="M277" s="8" t="s">
        <v>1483</v>
      </c>
      <c r="N277" s="8" t="s">
        <v>1483</v>
      </c>
    </row>
    <row r="278" spans="1:14" x14ac:dyDescent="0.25">
      <c r="A278" s="6" t="s">
        <v>765</v>
      </c>
      <c r="B278" s="7" t="s">
        <v>736</v>
      </c>
      <c r="C278" s="7" t="s">
        <v>735</v>
      </c>
      <c r="D278" s="7" t="s">
        <v>764</v>
      </c>
      <c r="E278" s="8" t="s">
        <v>1483</v>
      </c>
      <c r="F278" s="8" t="s">
        <v>1483</v>
      </c>
      <c r="G278" s="8" t="s">
        <v>1483</v>
      </c>
      <c r="H278" s="8" t="s">
        <v>1483</v>
      </c>
      <c r="I278" s="8" t="s">
        <v>1483</v>
      </c>
      <c r="J278" s="8" t="s">
        <v>1483</v>
      </c>
      <c r="K278" s="8" t="s">
        <v>1483</v>
      </c>
      <c r="L278" s="8" t="s">
        <v>1483</v>
      </c>
      <c r="M278" s="8" t="s">
        <v>1483</v>
      </c>
      <c r="N278" s="8" t="s">
        <v>1483</v>
      </c>
    </row>
    <row r="279" spans="1:14" x14ac:dyDescent="0.25">
      <c r="A279" s="6" t="s">
        <v>763</v>
      </c>
      <c r="B279" s="7"/>
      <c r="C279" s="7"/>
      <c r="D279" s="7"/>
      <c r="E279" s="8"/>
      <c r="F279" s="8"/>
      <c r="G279" s="8"/>
      <c r="H279" s="8"/>
      <c r="I279" s="8"/>
      <c r="J279" s="8"/>
      <c r="K279" s="8"/>
      <c r="L279" s="8"/>
      <c r="M279" s="8"/>
      <c r="N279" s="8"/>
    </row>
    <row r="280" spans="1:14" x14ac:dyDescent="0.25">
      <c r="A280" s="6" t="s">
        <v>760</v>
      </c>
      <c r="B280" s="7" t="s">
        <v>722</v>
      </c>
      <c r="C280" s="7" t="s">
        <v>721</v>
      </c>
      <c r="D280" s="7" t="s">
        <v>762</v>
      </c>
      <c r="E280" s="8" t="s">
        <v>1483</v>
      </c>
      <c r="F280" s="8" t="s">
        <v>1483</v>
      </c>
      <c r="G280" s="8" t="s">
        <v>1483</v>
      </c>
      <c r="H280" s="8" t="s">
        <v>1483</v>
      </c>
      <c r="I280" s="8" t="s">
        <v>1483</v>
      </c>
      <c r="J280" s="8" t="s">
        <v>1483</v>
      </c>
      <c r="K280" s="8" t="s">
        <v>1483</v>
      </c>
      <c r="L280" s="8" t="s">
        <v>1483</v>
      </c>
      <c r="M280" s="8" t="s">
        <v>1483</v>
      </c>
      <c r="N280" s="8" t="s">
        <v>1483</v>
      </c>
    </row>
    <row r="281" spans="1:14" x14ac:dyDescent="0.25">
      <c r="A281" s="6" t="s">
        <v>759</v>
      </c>
      <c r="B281" s="7" t="s">
        <v>719</v>
      </c>
      <c r="C281" s="7" t="s">
        <v>718</v>
      </c>
      <c r="D281" s="7" t="s">
        <v>762</v>
      </c>
      <c r="E281" s="8" t="s">
        <v>1483</v>
      </c>
      <c r="F281" s="8" t="s">
        <v>1483</v>
      </c>
      <c r="G281" s="8" t="s">
        <v>1483</v>
      </c>
      <c r="H281" s="8" t="s">
        <v>1483</v>
      </c>
      <c r="I281" s="8" t="s">
        <v>1483</v>
      </c>
      <c r="J281" s="8" t="s">
        <v>1483</v>
      </c>
      <c r="K281" s="8" t="s">
        <v>1483</v>
      </c>
      <c r="L281" s="8" t="s">
        <v>1483</v>
      </c>
      <c r="M281" s="8" t="s">
        <v>1483</v>
      </c>
      <c r="N281" s="8" t="s">
        <v>1483</v>
      </c>
    </row>
    <row r="282" spans="1:14" x14ac:dyDescent="0.25">
      <c r="A282" s="6" t="s">
        <v>716</v>
      </c>
      <c r="B282" s="7" t="s">
        <v>715</v>
      </c>
      <c r="C282" s="7" t="s">
        <v>714</v>
      </c>
      <c r="D282" s="7" t="s">
        <v>762</v>
      </c>
      <c r="E282" s="8" t="s">
        <v>1483</v>
      </c>
      <c r="F282" s="8" t="s">
        <v>1483</v>
      </c>
      <c r="G282" s="8" t="s">
        <v>1483</v>
      </c>
      <c r="H282" s="8" t="s">
        <v>1483</v>
      </c>
      <c r="I282" s="8" t="s">
        <v>1483</v>
      </c>
      <c r="J282" s="8" t="s">
        <v>1483</v>
      </c>
      <c r="K282" s="8" t="s">
        <v>1483</v>
      </c>
      <c r="L282" s="8" t="s">
        <v>1483</v>
      </c>
      <c r="M282" s="8" t="s">
        <v>1483</v>
      </c>
      <c r="N282" s="8" t="s">
        <v>1483</v>
      </c>
    </row>
    <row r="283" spans="1:14" x14ac:dyDescent="0.25">
      <c r="A283" s="6" t="s">
        <v>758</v>
      </c>
      <c r="B283" s="7" t="s">
        <v>757</v>
      </c>
      <c r="C283" s="7" t="s">
        <v>756</v>
      </c>
      <c r="D283" s="7" t="s">
        <v>762</v>
      </c>
      <c r="E283" s="8" t="s">
        <v>1483</v>
      </c>
      <c r="F283" s="8" t="s">
        <v>1483</v>
      </c>
      <c r="G283" s="8" t="s">
        <v>1483</v>
      </c>
      <c r="H283" s="8" t="s">
        <v>1483</v>
      </c>
      <c r="I283" s="8" t="s">
        <v>1483</v>
      </c>
      <c r="J283" s="8" t="s">
        <v>1483</v>
      </c>
      <c r="K283" s="8" t="s">
        <v>1483</v>
      </c>
      <c r="L283" s="8" t="s">
        <v>1483</v>
      </c>
      <c r="M283" s="8" t="s">
        <v>1483</v>
      </c>
      <c r="N283" s="8" t="s">
        <v>1483</v>
      </c>
    </row>
    <row r="284" spans="1:14" x14ac:dyDescent="0.25">
      <c r="A284" s="6" t="s">
        <v>755</v>
      </c>
      <c r="B284" s="7" t="s">
        <v>754</v>
      </c>
      <c r="C284" s="7" t="s">
        <v>753</v>
      </c>
      <c r="D284" s="7" t="s">
        <v>762</v>
      </c>
      <c r="E284" s="8" t="s">
        <v>1483</v>
      </c>
      <c r="F284" s="8" t="s">
        <v>1483</v>
      </c>
      <c r="G284" s="8" t="s">
        <v>1483</v>
      </c>
      <c r="H284" s="8" t="s">
        <v>1483</v>
      </c>
      <c r="I284" s="8" t="s">
        <v>1483</v>
      </c>
      <c r="J284" s="8" t="s">
        <v>1483</v>
      </c>
      <c r="K284" s="8" t="s">
        <v>1483</v>
      </c>
      <c r="L284" s="8" t="s">
        <v>1483</v>
      </c>
      <c r="M284" s="8" t="s">
        <v>1483</v>
      </c>
      <c r="N284" s="8" t="s">
        <v>1483</v>
      </c>
    </row>
    <row r="285" spans="1:14" x14ac:dyDescent="0.25">
      <c r="A285" s="6" t="s">
        <v>752</v>
      </c>
      <c r="B285" s="7" t="s">
        <v>751</v>
      </c>
      <c r="C285" s="7" t="s">
        <v>750</v>
      </c>
      <c r="D285" s="7" t="s">
        <v>762</v>
      </c>
      <c r="E285" s="8" t="s">
        <v>1483</v>
      </c>
      <c r="F285" s="8" t="s">
        <v>1483</v>
      </c>
      <c r="G285" s="8" t="s">
        <v>1483</v>
      </c>
      <c r="H285" s="8" t="s">
        <v>1483</v>
      </c>
      <c r="I285" s="8" t="s">
        <v>1483</v>
      </c>
      <c r="J285" s="8" t="s">
        <v>1483</v>
      </c>
      <c r="K285" s="8" t="s">
        <v>1483</v>
      </c>
      <c r="L285" s="8" t="s">
        <v>1483</v>
      </c>
      <c r="M285" s="8" t="s">
        <v>1483</v>
      </c>
      <c r="N285" s="8" t="s">
        <v>1483</v>
      </c>
    </row>
    <row r="286" spans="1:14" x14ac:dyDescent="0.25">
      <c r="A286" s="6" t="s">
        <v>713</v>
      </c>
      <c r="B286" s="7" t="s">
        <v>20</v>
      </c>
      <c r="C286" s="7" t="s">
        <v>21</v>
      </c>
      <c r="D286" s="7" t="s">
        <v>762</v>
      </c>
      <c r="E286" s="8" t="s">
        <v>1483</v>
      </c>
      <c r="F286" s="8" t="s">
        <v>1483</v>
      </c>
      <c r="G286" s="8" t="s">
        <v>1483</v>
      </c>
      <c r="H286" s="8" t="s">
        <v>1483</v>
      </c>
      <c r="I286" s="8" t="s">
        <v>1483</v>
      </c>
      <c r="J286" s="8" t="s">
        <v>1483</v>
      </c>
      <c r="K286" s="8" t="s">
        <v>1483</v>
      </c>
      <c r="L286" s="8" t="s">
        <v>1483</v>
      </c>
      <c r="M286" s="8" t="s">
        <v>1483</v>
      </c>
      <c r="N286" s="8" t="s">
        <v>1483</v>
      </c>
    </row>
    <row r="287" spans="1:14" x14ac:dyDescent="0.25">
      <c r="A287" s="6" t="s">
        <v>761</v>
      </c>
      <c r="B287" s="7"/>
      <c r="C287" s="7"/>
      <c r="D287" s="7"/>
      <c r="E287" s="8"/>
      <c r="F287" s="8"/>
      <c r="G287" s="8"/>
      <c r="H287" s="8"/>
      <c r="I287" s="8"/>
      <c r="J287" s="8"/>
      <c r="K287" s="8"/>
      <c r="L287" s="8"/>
      <c r="M287" s="8"/>
      <c r="N287" s="8"/>
    </row>
    <row r="288" spans="1:14" x14ac:dyDescent="0.25">
      <c r="A288" s="6" t="s">
        <v>760</v>
      </c>
      <c r="B288" s="7" t="s">
        <v>722</v>
      </c>
      <c r="C288" s="7" t="s">
        <v>721</v>
      </c>
      <c r="D288" s="7" t="s">
        <v>749</v>
      </c>
      <c r="E288" s="8" t="s">
        <v>1483</v>
      </c>
      <c r="F288" s="8" t="s">
        <v>1483</v>
      </c>
      <c r="G288" s="8" t="s">
        <v>1483</v>
      </c>
      <c r="H288" s="8" t="s">
        <v>1483</v>
      </c>
      <c r="I288" s="8" t="s">
        <v>1483</v>
      </c>
      <c r="J288" s="8" t="s">
        <v>1483</v>
      </c>
      <c r="K288" s="8" t="s">
        <v>1483</v>
      </c>
      <c r="L288" s="8" t="s">
        <v>1483</v>
      </c>
      <c r="M288" s="8" t="s">
        <v>1483</v>
      </c>
      <c r="N288" s="8" t="s">
        <v>1483</v>
      </c>
    </row>
    <row r="289" spans="1:14" x14ac:dyDescent="0.25">
      <c r="A289" s="6" t="s">
        <v>759</v>
      </c>
      <c r="B289" s="7" t="s">
        <v>719</v>
      </c>
      <c r="C289" s="7" t="s">
        <v>718</v>
      </c>
      <c r="D289" s="7" t="s">
        <v>749</v>
      </c>
      <c r="E289" s="8" t="s">
        <v>1483</v>
      </c>
      <c r="F289" s="8" t="s">
        <v>1483</v>
      </c>
      <c r="G289" s="8" t="s">
        <v>1483</v>
      </c>
      <c r="H289" s="8" t="s">
        <v>1483</v>
      </c>
      <c r="I289" s="8" t="s">
        <v>1483</v>
      </c>
      <c r="J289" s="8" t="s">
        <v>1483</v>
      </c>
      <c r="K289" s="8" t="s">
        <v>1483</v>
      </c>
      <c r="L289" s="8" t="s">
        <v>1483</v>
      </c>
      <c r="M289" s="8" t="s">
        <v>1483</v>
      </c>
      <c r="N289" s="8" t="s">
        <v>1483</v>
      </c>
    </row>
    <row r="290" spans="1:14" x14ac:dyDescent="0.25">
      <c r="A290" s="6" t="s">
        <v>716</v>
      </c>
      <c r="B290" s="7" t="s">
        <v>715</v>
      </c>
      <c r="C290" s="7" t="s">
        <v>714</v>
      </c>
      <c r="D290" s="7" t="s">
        <v>749</v>
      </c>
      <c r="E290" s="8" t="s">
        <v>1483</v>
      </c>
      <c r="F290" s="8" t="s">
        <v>1483</v>
      </c>
      <c r="G290" s="8" t="s">
        <v>1483</v>
      </c>
      <c r="H290" s="8" t="s">
        <v>1483</v>
      </c>
      <c r="I290" s="8" t="s">
        <v>1483</v>
      </c>
      <c r="J290" s="8" t="s">
        <v>1483</v>
      </c>
      <c r="K290" s="8" t="s">
        <v>1483</v>
      </c>
      <c r="L290" s="8" t="s">
        <v>1483</v>
      </c>
      <c r="M290" s="8" t="s">
        <v>1483</v>
      </c>
      <c r="N290" s="8" t="s">
        <v>1483</v>
      </c>
    </row>
    <row r="291" spans="1:14" x14ac:dyDescent="0.25">
      <c r="A291" s="6" t="s">
        <v>758</v>
      </c>
      <c r="B291" s="7" t="s">
        <v>757</v>
      </c>
      <c r="C291" s="7" t="s">
        <v>756</v>
      </c>
      <c r="D291" s="7" t="s">
        <v>749</v>
      </c>
      <c r="E291" s="8" t="s">
        <v>1483</v>
      </c>
      <c r="F291" s="8" t="s">
        <v>1483</v>
      </c>
      <c r="G291" s="8" t="s">
        <v>1483</v>
      </c>
      <c r="H291" s="8" t="s">
        <v>1483</v>
      </c>
      <c r="I291" s="8" t="s">
        <v>1483</v>
      </c>
      <c r="J291" s="8" t="s">
        <v>1483</v>
      </c>
      <c r="K291" s="8" t="s">
        <v>1483</v>
      </c>
      <c r="L291" s="8" t="s">
        <v>1483</v>
      </c>
      <c r="M291" s="8" t="s">
        <v>1483</v>
      </c>
      <c r="N291" s="8" t="s">
        <v>1483</v>
      </c>
    </row>
    <row r="292" spans="1:14" x14ac:dyDescent="0.25">
      <c r="A292" s="6" t="s">
        <v>755</v>
      </c>
      <c r="B292" s="7" t="s">
        <v>754</v>
      </c>
      <c r="C292" s="7" t="s">
        <v>753</v>
      </c>
      <c r="D292" s="7" t="s">
        <v>749</v>
      </c>
      <c r="E292" s="8" t="s">
        <v>1483</v>
      </c>
      <c r="F292" s="8" t="s">
        <v>1483</v>
      </c>
      <c r="G292" s="8" t="s">
        <v>1483</v>
      </c>
      <c r="H292" s="8" t="s">
        <v>1483</v>
      </c>
      <c r="I292" s="8" t="s">
        <v>1483</v>
      </c>
      <c r="J292" s="8" t="s">
        <v>1483</v>
      </c>
      <c r="K292" s="8" t="s">
        <v>1483</v>
      </c>
      <c r="L292" s="8" t="s">
        <v>1483</v>
      </c>
      <c r="M292" s="8" t="s">
        <v>1483</v>
      </c>
      <c r="N292" s="8" t="s">
        <v>1483</v>
      </c>
    </row>
    <row r="293" spans="1:14" x14ac:dyDescent="0.25">
      <c r="A293" s="6" t="s">
        <v>752</v>
      </c>
      <c r="B293" s="7" t="s">
        <v>751</v>
      </c>
      <c r="C293" s="7" t="s">
        <v>750</v>
      </c>
      <c r="D293" s="7" t="s">
        <v>749</v>
      </c>
      <c r="E293" s="8" t="s">
        <v>1483</v>
      </c>
      <c r="F293" s="8" t="s">
        <v>1483</v>
      </c>
      <c r="G293" s="8" t="s">
        <v>1483</v>
      </c>
      <c r="H293" s="8" t="s">
        <v>1483</v>
      </c>
      <c r="I293" s="8" t="s">
        <v>1483</v>
      </c>
      <c r="J293" s="8" t="s">
        <v>1483</v>
      </c>
      <c r="K293" s="8" t="s">
        <v>1483</v>
      </c>
      <c r="L293" s="8" t="s">
        <v>1483</v>
      </c>
      <c r="M293" s="8" t="s">
        <v>1483</v>
      </c>
      <c r="N293" s="8" t="s">
        <v>1483</v>
      </c>
    </row>
    <row r="294" spans="1:14" x14ac:dyDescent="0.25">
      <c r="A294" s="6" t="s">
        <v>713</v>
      </c>
      <c r="B294" s="7" t="s">
        <v>20</v>
      </c>
      <c r="C294" s="7" t="s">
        <v>21</v>
      </c>
      <c r="D294" s="7" t="s">
        <v>749</v>
      </c>
      <c r="E294" s="8" t="s">
        <v>1483</v>
      </c>
      <c r="F294" s="8" t="s">
        <v>1483</v>
      </c>
      <c r="G294" s="8" t="s">
        <v>1483</v>
      </c>
      <c r="H294" s="8" t="s">
        <v>1483</v>
      </c>
      <c r="I294" s="8" t="s">
        <v>1483</v>
      </c>
      <c r="J294" s="8" t="s">
        <v>1483</v>
      </c>
      <c r="K294" s="8" t="s">
        <v>1483</v>
      </c>
      <c r="L294" s="8" t="s">
        <v>1483</v>
      </c>
      <c r="M294" s="8" t="s">
        <v>1483</v>
      </c>
      <c r="N294" s="8" t="s">
        <v>1483</v>
      </c>
    </row>
    <row r="295" spans="1:14" x14ac:dyDescent="0.25">
      <c r="A295" s="6" t="s">
        <v>17</v>
      </c>
      <c r="B295" s="7"/>
      <c r="C295" s="7"/>
      <c r="D295" s="7"/>
      <c r="E295" s="8"/>
      <c r="F295" s="8"/>
      <c r="G295" s="8"/>
      <c r="H295" s="8"/>
      <c r="I295" s="8"/>
      <c r="J295" s="8"/>
      <c r="K295" s="8"/>
      <c r="L295" s="8"/>
      <c r="M295" s="8"/>
      <c r="N295" s="8"/>
    </row>
    <row r="296" spans="1:14" x14ac:dyDescent="0.25">
      <c r="A296" s="6" t="s">
        <v>748</v>
      </c>
      <c r="B296" s="7"/>
      <c r="C296" s="7"/>
      <c r="D296" s="7"/>
      <c r="E296" s="8"/>
      <c r="F296" s="8"/>
      <c r="G296" s="8"/>
      <c r="H296" s="8"/>
      <c r="I296" s="8"/>
      <c r="J296" s="8"/>
      <c r="K296" s="8"/>
      <c r="L296" s="8"/>
      <c r="M296" s="8"/>
      <c r="N296" s="8"/>
    </row>
    <row r="297" spans="1:14" x14ac:dyDescent="0.25">
      <c r="A297" s="6" t="s">
        <v>747</v>
      </c>
      <c r="B297" s="7"/>
      <c r="C297" s="7"/>
      <c r="D297" s="7"/>
      <c r="E297" s="8"/>
      <c r="F297" s="8"/>
      <c r="G297" s="8"/>
      <c r="H297" s="8"/>
      <c r="I297" s="8"/>
      <c r="J297" s="8"/>
      <c r="K297" s="8"/>
      <c r="L297" s="8"/>
      <c r="M297" s="8"/>
      <c r="N297" s="8"/>
    </row>
    <row r="298" spans="1:14" x14ac:dyDescent="0.25">
      <c r="A298" s="6" t="s">
        <v>746</v>
      </c>
      <c r="B298" s="7"/>
      <c r="C298" s="7"/>
      <c r="D298" s="7"/>
      <c r="E298" s="8"/>
      <c r="F298" s="8"/>
      <c r="G298" s="8"/>
      <c r="H298" s="8"/>
      <c r="I298" s="8"/>
      <c r="J298" s="8"/>
      <c r="K298" s="8"/>
      <c r="L298" s="8"/>
      <c r="M298" s="8"/>
      <c r="N298" s="8"/>
    </row>
    <row r="299" spans="1:14" x14ac:dyDescent="0.25">
      <c r="A299" s="6" t="s">
        <v>745</v>
      </c>
      <c r="B299" s="7" t="s">
        <v>736</v>
      </c>
      <c r="C299" s="7" t="s">
        <v>735</v>
      </c>
      <c r="D299" s="7" t="s">
        <v>744</v>
      </c>
      <c r="E299" s="8" t="s">
        <v>1483</v>
      </c>
      <c r="F299" s="8" t="s">
        <v>1483</v>
      </c>
      <c r="G299" s="8" t="s">
        <v>1483</v>
      </c>
      <c r="H299" s="8" t="s">
        <v>1483</v>
      </c>
      <c r="I299" s="8" t="s">
        <v>1483</v>
      </c>
      <c r="J299" s="8" t="s">
        <v>1483</v>
      </c>
      <c r="K299" s="8" t="s">
        <v>1483</v>
      </c>
      <c r="L299" s="8" t="s">
        <v>1483</v>
      </c>
      <c r="M299" s="8" t="s">
        <v>1483</v>
      </c>
      <c r="N299" s="8" t="s">
        <v>1483</v>
      </c>
    </row>
    <row r="300" spans="1:14" x14ac:dyDescent="0.25">
      <c r="A300" s="6" t="s">
        <v>743</v>
      </c>
      <c r="B300" s="7" t="s">
        <v>736</v>
      </c>
      <c r="C300" s="7" t="s">
        <v>735</v>
      </c>
      <c r="D300" s="7" t="s">
        <v>730</v>
      </c>
      <c r="E300" s="8" t="s">
        <v>1483</v>
      </c>
      <c r="F300" s="8" t="s">
        <v>1483</v>
      </c>
      <c r="G300" s="8" t="s">
        <v>1483</v>
      </c>
      <c r="H300" s="8" t="s">
        <v>1483</v>
      </c>
      <c r="I300" s="8" t="s">
        <v>1483</v>
      </c>
      <c r="J300" s="8" t="s">
        <v>1483</v>
      </c>
      <c r="K300" s="8" t="s">
        <v>1483</v>
      </c>
      <c r="L300" s="8" t="s">
        <v>1483</v>
      </c>
      <c r="M300" s="8" t="s">
        <v>1483</v>
      </c>
      <c r="N300" s="8" t="s">
        <v>1483</v>
      </c>
    </row>
    <row r="301" spans="1:14" x14ac:dyDescent="0.25">
      <c r="A301" s="6" t="s">
        <v>742</v>
      </c>
      <c r="B301" s="7" t="s">
        <v>736</v>
      </c>
      <c r="C301" s="7" t="s">
        <v>735</v>
      </c>
      <c r="D301" s="7" t="s">
        <v>727</v>
      </c>
      <c r="E301" s="8" t="s">
        <v>1483</v>
      </c>
      <c r="F301" s="8" t="s">
        <v>1483</v>
      </c>
      <c r="G301" s="8" t="s">
        <v>1483</v>
      </c>
      <c r="H301" s="8" t="s">
        <v>1483</v>
      </c>
      <c r="I301" s="8" t="s">
        <v>1483</v>
      </c>
      <c r="J301" s="8" t="s">
        <v>1483</v>
      </c>
      <c r="K301" s="8" t="s">
        <v>1483</v>
      </c>
      <c r="L301" s="8" t="s">
        <v>1483</v>
      </c>
      <c r="M301" s="8" t="s">
        <v>1483</v>
      </c>
      <c r="N301" s="8" t="s">
        <v>1483</v>
      </c>
    </row>
    <row r="302" spans="1:14" x14ac:dyDescent="0.25">
      <c r="A302" s="6" t="s">
        <v>741</v>
      </c>
      <c r="B302" s="7"/>
      <c r="C302" s="7"/>
      <c r="D302" s="7"/>
      <c r="E302" s="8"/>
      <c r="F302" s="8"/>
      <c r="G302" s="8"/>
      <c r="H302" s="8"/>
      <c r="I302" s="8"/>
      <c r="J302" s="8"/>
      <c r="K302" s="8"/>
      <c r="L302" s="8"/>
      <c r="M302" s="8"/>
      <c r="N302" s="8"/>
    </row>
    <row r="303" spans="1:14" x14ac:dyDescent="0.25">
      <c r="A303" s="6" t="s">
        <v>740</v>
      </c>
      <c r="B303" s="7" t="s">
        <v>736</v>
      </c>
      <c r="C303" s="7" t="s">
        <v>735</v>
      </c>
      <c r="D303" s="7" t="s">
        <v>739</v>
      </c>
      <c r="E303" s="8" t="s">
        <v>1483</v>
      </c>
      <c r="F303" s="8" t="s">
        <v>1483</v>
      </c>
      <c r="G303" s="8" t="s">
        <v>1483</v>
      </c>
      <c r="H303" s="8" t="s">
        <v>1483</v>
      </c>
      <c r="I303" s="8" t="s">
        <v>1483</v>
      </c>
      <c r="J303" s="8" t="s">
        <v>1483</v>
      </c>
      <c r="K303" s="8" t="s">
        <v>1483</v>
      </c>
      <c r="L303" s="8" t="s">
        <v>1483</v>
      </c>
      <c r="M303" s="8" t="s">
        <v>1483</v>
      </c>
      <c r="N303" s="8" t="s">
        <v>1483</v>
      </c>
    </row>
    <row r="304" spans="1:14" x14ac:dyDescent="0.25">
      <c r="A304" s="6" t="s">
        <v>738</v>
      </c>
      <c r="B304" s="7"/>
      <c r="C304" s="7"/>
      <c r="D304" s="7"/>
      <c r="E304" s="8"/>
      <c r="F304" s="8"/>
      <c r="G304" s="8"/>
      <c r="H304" s="8"/>
      <c r="I304" s="8"/>
      <c r="J304" s="8"/>
      <c r="K304" s="8"/>
      <c r="L304" s="8"/>
      <c r="M304" s="8"/>
      <c r="N304" s="8"/>
    </row>
    <row r="305" spans="1:14" x14ac:dyDescent="0.25">
      <c r="A305" s="6" t="s">
        <v>737</v>
      </c>
      <c r="B305" s="7" t="s">
        <v>736</v>
      </c>
      <c r="C305" s="7" t="s">
        <v>735</v>
      </c>
      <c r="D305" s="7" t="s">
        <v>734</v>
      </c>
      <c r="E305" s="8" t="s">
        <v>1483</v>
      </c>
      <c r="F305" s="8" t="s">
        <v>1483</v>
      </c>
      <c r="G305" s="8" t="s">
        <v>1483</v>
      </c>
      <c r="H305" s="8" t="s">
        <v>1483</v>
      </c>
      <c r="I305" s="8" t="s">
        <v>1483</v>
      </c>
      <c r="J305" s="8" t="s">
        <v>1483</v>
      </c>
      <c r="K305" s="8" t="s">
        <v>1483</v>
      </c>
      <c r="L305" s="8" t="s">
        <v>1483</v>
      </c>
      <c r="M305" s="8" t="s">
        <v>1483</v>
      </c>
      <c r="N305" s="8" t="s">
        <v>1483</v>
      </c>
    </row>
    <row r="306" spans="1:14" x14ac:dyDescent="0.25">
      <c r="A306" s="6" t="s">
        <v>733</v>
      </c>
      <c r="B306" s="7"/>
      <c r="C306" s="7"/>
      <c r="D306" s="7"/>
      <c r="E306" s="8"/>
      <c r="F306" s="8"/>
      <c r="G306" s="8"/>
      <c r="H306" s="8"/>
      <c r="I306" s="8"/>
      <c r="J306" s="8"/>
      <c r="K306" s="8"/>
      <c r="L306" s="8"/>
      <c r="M306" s="8"/>
      <c r="N306" s="8"/>
    </row>
    <row r="307" spans="1:14" x14ac:dyDescent="0.25">
      <c r="A307" s="6" t="s">
        <v>732</v>
      </c>
      <c r="B307" s="7" t="s">
        <v>722</v>
      </c>
      <c r="C307" s="7" t="s">
        <v>721</v>
      </c>
      <c r="D307" s="7" t="s">
        <v>730</v>
      </c>
      <c r="E307" s="8" t="s">
        <v>1483</v>
      </c>
      <c r="F307" s="8" t="s">
        <v>1483</v>
      </c>
      <c r="G307" s="8" t="s">
        <v>1483</v>
      </c>
      <c r="H307" s="8" t="s">
        <v>1483</v>
      </c>
      <c r="I307" s="8" t="s">
        <v>1483</v>
      </c>
      <c r="J307" s="8" t="s">
        <v>1483</v>
      </c>
      <c r="K307" s="8" t="s">
        <v>1483</v>
      </c>
      <c r="L307" s="8" t="s">
        <v>1483</v>
      </c>
      <c r="M307" s="8" t="s">
        <v>1483</v>
      </c>
      <c r="N307" s="8" t="s">
        <v>1483</v>
      </c>
    </row>
    <row r="308" spans="1:14" x14ac:dyDescent="0.25">
      <c r="A308" s="6" t="s">
        <v>731</v>
      </c>
      <c r="B308" s="7" t="s">
        <v>719</v>
      </c>
      <c r="C308" s="7" t="s">
        <v>718</v>
      </c>
      <c r="D308" s="7" t="s">
        <v>730</v>
      </c>
      <c r="E308" s="8" t="s">
        <v>1483</v>
      </c>
      <c r="F308" s="8" t="s">
        <v>1483</v>
      </c>
      <c r="G308" s="8" t="s">
        <v>1483</v>
      </c>
      <c r="H308" s="8" t="s">
        <v>1483</v>
      </c>
      <c r="I308" s="8" t="s">
        <v>1483</v>
      </c>
      <c r="J308" s="8" t="s">
        <v>1483</v>
      </c>
      <c r="K308" s="8" t="s">
        <v>1483</v>
      </c>
      <c r="L308" s="8" t="s">
        <v>1483</v>
      </c>
      <c r="M308" s="8" t="s">
        <v>1483</v>
      </c>
      <c r="N308" s="8" t="s">
        <v>1483</v>
      </c>
    </row>
    <row r="309" spans="1:14" x14ac:dyDescent="0.25">
      <c r="A309" s="6" t="s">
        <v>729</v>
      </c>
      <c r="B309" s="7" t="s">
        <v>722</v>
      </c>
      <c r="C309" s="7" t="s">
        <v>721</v>
      </c>
      <c r="D309" s="7" t="s">
        <v>727</v>
      </c>
      <c r="E309" s="8" t="s">
        <v>1483</v>
      </c>
      <c r="F309" s="8" t="s">
        <v>1483</v>
      </c>
      <c r="G309" s="8" t="s">
        <v>1483</v>
      </c>
      <c r="H309" s="8" t="s">
        <v>1483</v>
      </c>
      <c r="I309" s="8" t="s">
        <v>1483</v>
      </c>
      <c r="J309" s="8" t="s">
        <v>1483</v>
      </c>
      <c r="K309" s="8" t="s">
        <v>1483</v>
      </c>
      <c r="L309" s="8" t="s">
        <v>1483</v>
      </c>
      <c r="M309" s="8" t="s">
        <v>1483</v>
      </c>
      <c r="N309" s="8" t="s">
        <v>1483</v>
      </c>
    </row>
    <row r="310" spans="1:14" x14ac:dyDescent="0.25">
      <c r="A310" s="6" t="s">
        <v>728</v>
      </c>
      <c r="B310" s="7" t="s">
        <v>719</v>
      </c>
      <c r="C310" s="7" t="s">
        <v>718</v>
      </c>
      <c r="D310" s="7" t="s">
        <v>727</v>
      </c>
      <c r="E310" s="8" t="s">
        <v>1483</v>
      </c>
      <c r="F310" s="8" t="s">
        <v>1483</v>
      </c>
      <c r="G310" s="8" t="s">
        <v>1483</v>
      </c>
      <c r="H310" s="8" t="s">
        <v>1483</v>
      </c>
      <c r="I310" s="8" t="s">
        <v>1483</v>
      </c>
      <c r="J310" s="8" t="s">
        <v>1483</v>
      </c>
      <c r="K310" s="8" t="s">
        <v>1483</v>
      </c>
      <c r="L310" s="8" t="s">
        <v>1483</v>
      </c>
      <c r="M310" s="8" t="s">
        <v>1483</v>
      </c>
      <c r="N310" s="8" t="s">
        <v>1483</v>
      </c>
    </row>
    <row r="311" spans="1:14" x14ac:dyDescent="0.25">
      <c r="A311" s="6" t="s">
        <v>726</v>
      </c>
      <c r="B311" s="7" t="s">
        <v>722</v>
      </c>
      <c r="C311" s="7" t="s">
        <v>721</v>
      </c>
      <c r="D311" s="7" t="s">
        <v>724</v>
      </c>
      <c r="E311" s="8" t="s">
        <v>1483</v>
      </c>
      <c r="F311" s="8" t="s">
        <v>1483</v>
      </c>
      <c r="G311" s="8" t="s">
        <v>1483</v>
      </c>
      <c r="H311" s="8" t="s">
        <v>1483</v>
      </c>
      <c r="I311" s="8" t="s">
        <v>1483</v>
      </c>
      <c r="J311" s="8" t="s">
        <v>1483</v>
      </c>
      <c r="K311" s="8" t="s">
        <v>1483</v>
      </c>
      <c r="L311" s="8" t="s">
        <v>1483</v>
      </c>
      <c r="M311" s="8" t="s">
        <v>1483</v>
      </c>
      <c r="N311" s="8" t="s">
        <v>1483</v>
      </c>
    </row>
    <row r="312" spans="1:14" x14ac:dyDescent="0.25">
      <c r="A312" s="6" t="s">
        <v>725</v>
      </c>
      <c r="B312" s="7" t="s">
        <v>719</v>
      </c>
      <c r="C312" s="7" t="s">
        <v>718</v>
      </c>
      <c r="D312" s="7" t="s">
        <v>724</v>
      </c>
      <c r="E312" s="8" t="s">
        <v>1483</v>
      </c>
      <c r="F312" s="8" t="s">
        <v>1483</v>
      </c>
      <c r="G312" s="8" t="s">
        <v>1483</v>
      </c>
      <c r="H312" s="8" t="s">
        <v>1483</v>
      </c>
      <c r="I312" s="8" t="s">
        <v>1483</v>
      </c>
      <c r="J312" s="8" t="s">
        <v>1483</v>
      </c>
      <c r="K312" s="8" t="s">
        <v>1483</v>
      </c>
      <c r="L312" s="8" t="s">
        <v>1483</v>
      </c>
      <c r="M312" s="8" t="s">
        <v>1483</v>
      </c>
      <c r="N312" s="8" t="s">
        <v>1483</v>
      </c>
    </row>
    <row r="313" spans="1:14" x14ac:dyDescent="0.25">
      <c r="A313" s="6" t="s">
        <v>723</v>
      </c>
      <c r="B313" s="7" t="s">
        <v>722</v>
      </c>
      <c r="C313" s="7" t="s">
        <v>721</v>
      </c>
      <c r="D313" s="7" t="s">
        <v>717</v>
      </c>
      <c r="E313" s="8" t="s">
        <v>1483</v>
      </c>
      <c r="F313" s="8" t="s">
        <v>1483</v>
      </c>
      <c r="G313" s="8" t="s">
        <v>1483</v>
      </c>
      <c r="H313" s="8" t="s">
        <v>1483</v>
      </c>
      <c r="I313" s="8" t="s">
        <v>1483</v>
      </c>
      <c r="J313" s="8" t="s">
        <v>1483</v>
      </c>
      <c r="K313" s="8" t="s">
        <v>1483</v>
      </c>
      <c r="L313" s="8" t="s">
        <v>1483</v>
      </c>
      <c r="M313" s="8" t="s">
        <v>1483</v>
      </c>
      <c r="N313" s="8" t="s">
        <v>1483</v>
      </c>
    </row>
    <row r="314" spans="1:14" x14ac:dyDescent="0.25">
      <c r="A314" s="6" t="s">
        <v>720</v>
      </c>
      <c r="B314" s="7" t="s">
        <v>719</v>
      </c>
      <c r="C314" s="7" t="s">
        <v>718</v>
      </c>
      <c r="D314" s="7" t="s">
        <v>717</v>
      </c>
      <c r="E314" s="8" t="s">
        <v>1483</v>
      </c>
      <c r="F314" s="8" t="s">
        <v>1483</v>
      </c>
      <c r="G314" s="8" t="s">
        <v>1483</v>
      </c>
      <c r="H314" s="8" t="s">
        <v>1483</v>
      </c>
      <c r="I314" s="8" t="s">
        <v>1483</v>
      </c>
      <c r="J314" s="8" t="s">
        <v>1483</v>
      </c>
      <c r="K314" s="8" t="s">
        <v>1483</v>
      </c>
      <c r="L314" s="8" t="s">
        <v>1483</v>
      </c>
      <c r="M314" s="8" t="s">
        <v>1483</v>
      </c>
      <c r="N314" s="8" t="s">
        <v>1483</v>
      </c>
    </row>
    <row r="315" spans="1:14" x14ac:dyDescent="0.25">
      <c r="A315" s="6" t="s">
        <v>716</v>
      </c>
      <c r="B315" s="7" t="s">
        <v>715</v>
      </c>
      <c r="C315" s="7" t="s">
        <v>714</v>
      </c>
      <c r="D315" s="7" t="s">
        <v>712</v>
      </c>
      <c r="E315" s="8" t="s">
        <v>1483</v>
      </c>
      <c r="F315" s="8" t="s">
        <v>1483</v>
      </c>
      <c r="G315" s="8" t="s">
        <v>1483</v>
      </c>
      <c r="H315" s="8" t="s">
        <v>1483</v>
      </c>
      <c r="I315" s="8" t="s">
        <v>1483</v>
      </c>
      <c r="J315" s="8" t="s">
        <v>1483</v>
      </c>
      <c r="K315" s="8" t="s">
        <v>1483</v>
      </c>
      <c r="L315" s="8" t="s">
        <v>1483</v>
      </c>
      <c r="M315" s="8" t="s">
        <v>1483</v>
      </c>
      <c r="N315" s="8" t="s">
        <v>1483</v>
      </c>
    </row>
    <row r="316" spans="1:14" x14ac:dyDescent="0.25">
      <c r="A316" s="6" t="s">
        <v>713</v>
      </c>
      <c r="B316" s="7" t="s">
        <v>20</v>
      </c>
      <c r="C316" s="7" t="s">
        <v>21</v>
      </c>
      <c r="D316" s="7" t="s">
        <v>712</v>
      </c>
      <c r="E316" s="8">
        <v>1203</v>
      </c>
      <c r="F316" s="8">
        <v>1567</v>
      </c>
      <c r="G316" s="8">
        <v>2232</v>
      </c>
      <c r="H316" s="8">
        <v>3169</v>
      </c>
      <c r="I316" s="8">
        <v>4210</v>
      </c>
      <c r="J316" s="8">
        <v>5277</v>
      </c>
      <c r="K316" s="8">
        <v>6588</v>
      </c>
      <c r="L316" s="8">
        <v>8266</v>
      </c>
      <c r="M316" s="8">
        <v>9916.9914037802628</v>
      </c>
      <c r="N316" s="8">
        <v>11074.935771614242</v>
      </c>
    </row>
    <row r="317" spans="1:14" x14ac:dyDescent="0.25">
      <c r="A317" s="6" t="s">
        <v>82</v>
      </c>
      <c r="B317" s="7"/>
      <c r="C317" s="7"/>
      <c r="D317" s="7"/>
      <c r="E317" s="8"/>
      <c r="F317" s="8"/>
      <c r="G317" s="8"/>
      <c r="H317" s="8"/>
      <c r="I317" s="8"/>
      <c r="J317" s="8"/>
      <c r="K317" s="8"/>
      <c r="L317" s="8"/>
      <c r="M317" s="8"/>
      <c r="N317" s="8"/>
    </row>
    <row r="318" spans="1:14" x14ac:dyDescent="0.25">
      <c r="A318" s="6" t="s">
        <v>137</v>
      </c>
      <c r="B318" s="7" t="s">
        <v>12</v>
      </c>
      <c r="C318" s="7" t="s">
        <v>13</v>
      </c>
      <c r="D318" s="7"/>
      <c r="E318" s="8">
        <v>81581</v>
      </c>
      <c r="F318" s="8">
        <v>82059</v>
      </c>
      <c r="G318" s="8">
        <v>82584</v>
      </c>
      <c r="H318" s="8">
        <v>93775</v>
      </c>
      <c r="I318" s="8">
        <v>94943</v>
      </c>
      <c r="J318" s="8">
        <v>85159</v>
      </c>
      <c r="K318" s="8">
        <v>88821</v>
      </c>
      <c r="L318" s="8">
        <v>94193</v>
      </c>
      <c r="M318" s="8">
        <v>100625.60000000001</v>
      </c>
      <c r="N318" s="8">
        <v>106508.4</v>
      </c>
    </row>
    <row r="319" spans="1:14" x14ac:dyDescent="0.25">
      <c r="A319" s="6" t="s">
        <v>657</v>
      </c>
      <c r="B319" s="7" t="s">
        <v>20</v>
      </c>
      <c r="C319" s="7" t="s">
        <v>21</v>
      </c>
      <c r="D319" s="7" t="s">
        <v>711</v>
      </c>
      <c r="E319" s="8">
        <v>41884</v>
      </c>
      <c r="F319" s="8">
        <v>42097</v>
      </c>
      <c r="G319" s="8">
        <v>43133</v>
      </c>
      <c r="H319" s="8">
        <v>47158</v>
      </c>
      <c r="I319" s="8">
        <v>41980</v>
      </c>
      <c r="J319" s="8">
        <v>46444</v>
      </c>
      <c r="K319" s="8">
        <v>50302</v>
      </c>
      <c r="L319" s="8">
        <v>53752</v>
      </c>
      <c r="M319" s="8">
        <v>58033.623787446821</v>
      </c>
      <c r="N319" s="8">
        <v>61529.783940612404</v>
      </c>
    </row>
    <row r="320" spans="1:14" x14ac:dyDescent="0.25">
      <c r="A320" s="6" t="s">
        <v>697</v>
      </c>
      <c r="B320" s="7" t="s">
        <v>20</v>
      </c>
      <c r="C320" s="7" t="s">
        <v>21</v>
      </c>
      <c r="D320" s="7" t="s">
        <v>710</v>
      </c>
      <c r="E320" s="8">
        <v>23286</v>
      </c>
      <c r="F320" s="8">
        <v>23878</v>
      </c>
      <c r="G320" s="8">
        <v>25745</v>
      </c>
      <c r="H320" s="8">
        <v>27956</v>
      </c>
      <c r="I320" s="8">
        <v>28603</v>
      </c>
      <c r="J320" s="8">
        <v>31169</v>
      </c>
      <c r="K320" s="8">
        <v>33970</v>
      </c>
      <c r="L320" s="8">
        <v>36344</v>
      </c>
      <c r="M320" s="8">
        <v>39698.16632319273</v>
      </c>
      <c r="N320" s="8">
        <v>42481.408265905739</v>
      </c>
    </row>
    <row r="321" spans="1:14" x14ac:dyDescent="0.25">
      <c r="A321" s="6" t="s">
        <v>695</v>
      </c>
      <c r="B321" s="7" t="s">
        <v>20</v>
      </c>
      <c r="C321" s="7" t="s">
        <v>21</v>
      </c>
      <c r="D321" s="7" t="s">
        <v>709</v>
      </c>
      <c r="E321" s="8">
        <v>9073</v>
      </c>
      <c r="F321" s="8">
        <v>9642</v>
      </c>
      <c r="G321" s="8">
        <v>10175</v>
      </c>
      <c r="H321" s="8">
        <v>10844</v>
      </c>
      <c r="I321" s="8">
        <v>11036</v>
      </c>
      <c r="J321" s="8">
        <v>11539</v>
      </c>
      <c r="K321" s="8">
        <v>11355</v>
      </c>
      <c r="L321" s="8">
        <v>9872</v>
      </c>
      <c r="M321" s="8">
        <v>9583.3351140738396</v>
      </c>
      <c r="N321" s="8">
        <v>9868.1339432120021</v>
      </c>
    </row>
    <row r="322" spans="1:14" x14ac:dyDescent="0.25">
      <c r="A322" s="6" t="s">
        <v>693</v>
      </c>
      <c r="B322" s="7" t="s">
        <v>20</v>
      </c>
      <c r="C322" s="7" t="s">
        <v>21</v>
      </c>
      <c r="D322" s="7" t="s">
        <v>708</v>
      </c>
      <c r="E322" s="8">
        <v>1378</v>
      </c>
      <c r="F322" s="8">
        <v>1598</v>
      </c>
      <c r="G322" s="8">
        <v>1735</v>
      </c>
      <c r="H322" s="8">
        <v>2249</v>
      </c>
      <c r="I322" s="8">
        <v>1680</v>
      </c>
      <c r="J322" s="8">
        <v>1500</v>
      </c>
      <c r="K322" s="8">
        <v>1354</v>
      </c>
      <c r="L322" s="8">
        <v>1264</v>
      </c>
      <c r="M322" s="8">
        <v>1172.4229544166667</v>
      </c>
      <c r="N322" s="8">
        <v>1030.1771866719944</v>
      </c>
    </row>
    <row r="323" spans="1:14" x14ac:dyDescent="0.25">
      <c r="A323" s="6" t="s">
        <v>691</v>
      </c>
      <c r="B323" s="7" t="s">
        <v>20</v>
      </c>
      <c r="C323" s="7" t="s">
        <v>21</v>
      </c>
      <c r="D323" s="7" t="s">
        <v>707</v>
      </c>
      <c r="E323" s="8">
        <v>2574</v>
      </c>
      <c r="F323" s="8">
        <v>2920</v>
      </c>
      <c r="G323" s="8">
        <v>3091</v>
      </c>
      <c r="H323" s="8">
        <v>3347</v>
      </c>
      <c r="I323" s="8">
        <v>3569</v>
      </c>
      <c r="J323" s="8">
        <v>4065</v>
      </c>
      <c r="K323" s="8">
        <v>4398</v>
      </c>
      <c r="L323" s="8">
        <v>5151</v>
      </c>
      <c r="M323" s="8">
        <v>6147.9150193766081</v>
      </c>
      <c r="N323" s="8">
        <v>7063.5032956508749</v>
      </c>
    </row>
    <row r="324" spans="1:14" x14ac:dyDescent="0.25">
      <c r="A324" s="6" t="s">
        <v>689</v>
      </c>
      <c r="B324" s="7" t="s">
        <v>20</v>
      </c>
      <c r="C324" s="7" t="s">
        <v>21</v>
      </c>
      <c r="D324" s="7" t="s">
        <v>706</v>
      </c>
      <c r="E324" s="8">
        <v>4331</v>
      </c>
      <c r="F324" s="8">
        <v>4299</v>
      </c>
      <c r="G324" s="8">
        <v>5092</v>
      </c>
      <c r="H324" s="8">
        <v>5958</v>
      </c>
      <c r="I324" s="8">
        <v>6930</v>
      </c>
      <c r="J324" s="8">
        <v>8462</v>
      </c>
      <c r="K324" s="8">
        <v>10854</v>
      </c>
      <c r="L324" s="8">
        <v>13660</v>
      </c>
      <c r="M324" s="8">
        <v>15263.088750661311</v>
      </c>
      <c r="N324" s="8">
        <v>18101.734518543362</v>
      </c>
    </row>
    <row r="325" spans="1:14" x14ac:dyDescent="0.25">
      <c r="A325" s="6" t="s">
        <v>687</v>
      </c>
      <c r="B325" s="7" t="s">
        <v>20</v>
      </c>
      <c r="C325" s="7" t="s">
        <v>21</v>
      </c>
      <c r="D325" s="7" t="s">
        <v>705</v>
      </c>
      <c r="E325" s="8">
        <v>1651</v>
      </c>
      <c r="F325" s="8">
        <v>1685</v>
      </c>
      <c r="G325" s="8">
        <v>2143</v>
      </c>
      <c r="H325" s="8">
        <v>2366</v>
      </c>
      <c r="I325" s="8">
        <v>2346</v>
      </c>
      <c r="J325" s="8">
        <v>2697</v>
      </c>
      <c r="K325" s="8">
        <v>3143</v>
      </c>
      <c r="L325" s="8">
        <v>3223</v>
      </c>
      <c r="M325" s="8">
        <v>2796.192469195169</v>
      </c>
      <c r="N325" s="8">
        <v>2063.2879276125341</v>
      </c>
    </row>
    <row r="326" spans="1:14" x14ac:dyDescent="0.25">
      <c r="A326" s="6" t="s">
        <v>685</v>
      </c>
      <c r="B326" s="7" t="s">
        <v>20</v>
      </c>
      <c r="C326" s="7" t="s">
        <v>21</v>
      </c>
      <c r="D326" s="7" t="s">
        <v>704</v>
      </c>
      <c r="E326" s="8">
        <v>4279</v>
      </c>
      <c r="F326" s="8">
        <v>3734</v>
      </c>
      <c r="G326" s="8">
        <v>3509</v>
      </c>
      <c r="H326" s="8">
        <v>3192</v>
      </c>
      <c r="I326" s="8">
        <v>3042</v>
      </c>
      <c r="J326" s="8">
        <v>2906</v>
      </c>
      <c r="K326" s="8">
        <v>2866</v>
      </c>
      <c r="L326" s="8">
        <v>3175</v>
      </c>
      <c r="M326" s="8">
        <v>3000.4847066552593</v>
      </c>
      <c r="N326" s="8">
        <v>2386.0302929086379</v>
      </c>
    </row>
    <row r="327" spans="1:14" x14ac:dyDescent="0.25">
      <c r="A327" s="6" t="s">
        <v>683</v>
      </c>
      <c r="B327" s="7" t="s">
        <v>20</v>
      </c>
      <c r="C327" s="7" t="s">
        <v>21</v>
      </c>
      <c r="D327" s="7" t="s">
        <v>703</v>
      </c>
      <c r="E327" s="8">
        <v>12837</v>
      </c>
      <c r="F327" s="8">
        <v>12384</v>
      </c>
      <c r="G327" s="8">
        <v>11026</v>
      </c>
      <c r="H327" s="8">
        <v>12685</v>
      </c>
      <c r="I327" s="8">
        <v>13377</v>
      </c>
      <c r="J327" s="8">
        <v>15275</v>
      </c>
      <c r="K327" s="8">
        <v>16332</v>
      </c>
      <c r="L327" s="8">
        <v>17407</v>
      </c>
      <c r="M327" s="8">
        <v>18516.820393019461</v>
      </c>
      <c r="N327" s="8">
        <v>19606.924707832321</v>
      </c>
    </row>
    <row r="328" spans="1:14" x14ac:dyDescent="0.25">
      <c r="A328" s="6" t="s">
        <v>681</v>
      </c>
      <c r="B328" s="7" t="s">
        <v>20</v>
      </c>
      <c r="C328" s="7" t="s">
        <v>21</v>
      </c>
      <c r="D328" s="7" t="s">
        <v>702</v>
      </c>
      <c r="E328" s="8">
        <v>1283</v>
      </c>
      <c r="F328" s="8">
        <v>1443</v>
      </c>
      <c r="G328" s="8">
        <v>1441</v>
      </c>
      <c r="H328" s="8">
        <v>1836</v>
      </c>
      <c r="I328" s="8">
        <v>2169</v>
      </c>
      <c r="J328" s="8">
        <v>3633</v>
      </c>
      <c r="K328" s="8">
        <v>4513</v>
      </c>
      <c r="L328" s="8">
        <v>5305</v>
      </c>
      <c r="M328" s="8">
        <v>5965.8550401846578</v>
      </c>
      <c r="N328" s="8">
        <v>6645.5871174419517</v>
      </c>
    </row>
    <row r="329" spans="1:14" x14ac:dyDescent="0.25">
      <c r="A329" s="6" t="s">
        <v>679</v>
      </c>
      <c r="B329" s="7" t="s">
        <v>20</v>
      </c>
      <c r="C329" s="7" t="s">
        <v>21</v>
      </c>
      <c r="D329" s="7" t="s">
        <v>701</v>
      </c>
      <c r="E329" s="8">
        <v>5281</v>
      </c>
      <c r="F329" s="8">
        <v>5319</v>
      </c>
      <c r="G329" s="8">
        <v>4779</v>
      </c>
      <c r="H329" s="8">
        <v>5125</v>
      </c>
      <c r="I329" s="8">
        <v>5321</v>
      </c>
      <c r="J329" s="8">
        <v>5525</v>
      </c>
      <c r="K329" s="8">
        <v>5689</v>
      </c>
      <c r="L329" s="8">
        <v>5720</v>
      </c>
      <c r="M329" s="8">
        <v>5882.5793636222852</v>
      </c>
      <c r="N329" s="8">
        <v>6052.5210003145312</v>
      </c>
    </row>
    <row r="330" spans="1:14" x14ac:dyDescent="0.25">
      <c r="A330" s="6" t="s">
        <v>677</v>
      </c>
      <c r="B330" s="7" t="s">
        <v>20</v>
      </c>
      <c r="C330" s="7" t="s">
        <v>21</v>
      </c>
      <c r="D330" s="7" t="s">
        <v>700</v>
      </c>
      <c r="E330" s="8">
        <v>4125</v>
      </c>
      <c r="F330" s="8">
        <v>3828</v>
      </c>
      <c r="G330" s="8">
        <v>3249</v>
      </c>
      <c r="H330" s="8">
        <v>3767</v>
      </c>
      <c r="I330" s="8">
        <v>3897</v>
      </c>
      <c r="J330" s="8">
        <v>4031</v>
      </c>
      <c r="K330" s="8">
        <v>4003</v>
      </c>
      <c r="L330" s="8">
        <v>4157</v>
      </c>
      <c r="M330" s="8">
        <v>4310.2481463636359</v>
      </c>
      <c r="N330" s="8">
        <v>4445.9652096181826</v>
      </c>
    </row>
    <row r="331" spans="1:14" x14ac:dyDescent="0.25">
      <c r="A331" s="6" t="s">
        <v>675</v>
      </c>
      <c r="B331" s="7" t="s">
        <v>20</v>
      </c>
      <c r="C331" s="7" t="s">
        <v>21</v>
      </c>
      <c r="D331" s="7" t="s">
        <v>699</v>
      </c>
      <c r="E331" s="8">
        <v>1777</v>
      </c>
      <c r="F331" s="8">
        <v>1794</v>
      </c>
      <c r="G331" s="8">
        <v>1557</v>
      </c>
      <c r="H331" s="8">
        <v>1957</v>
      </c>
      <c r="I331" s="8">
        <v>1990</v>
      </c>
      <c r="J331" s="8">
        <v>2086</v>
      </c>
      <c r="K331" s="8">
        <v>2127</v>
      </c>
      <c r="L331" s="8">
        <v>2225</v>
      </c>
      <c r="M331" s="8">
        <v>2322.7357910909091</v>
      </c>
      <c r="N331" s="8">
        <v>2420.3226598836363</v>
      </c>
    </row>
    <row r="332" spans="1:14" x14ac:dyDescent="0.25">
      <c r="A332" s="6" t="s">
        <v>673</v>
      </c>
      <c r="B332" s="7" t="s">
        <v>20</v>
      </c>
      <c r="C332" s="7" t="s">
        <v>21</v>
      </c>
      <c r="D332" s="7" t="s">
        <v>698</v>
      </c>
      <c r="E332" s="8">
        <v>39697</v>
      </c>
      <c r="F332" s="8">
        <v>39962</v>
      </c>
      <c r="G332" s="8">
        <v>39451</v>
      </c>
      <c r="H332" s="8">
        <v>46617</v>
      </c>
      <c r="I332" s="8">
        <v>38009</v>
      </c>
      <c r="J332" s="8">
        <v>38715</v>
      </c>
      <c r="K332" s="8">
        <v>38519</v>
      </c>
      <c r="L332" s="8">
        <v>40441</v>
      </c>
      <c r="M332" s="8">
        <v>42716.617656563169</v>
      </c>
      <c r="N332" s="8">
        <v>44775.254470638174</v>
      </c>
    </row>
    <row r="333" spans="1:14" x14ac:dyDescent="0.25">
      <c r="A333" s="6" t="s">
        <v>697</v>
      </c>
      <c r="B333" s="7" t="s">
        <v>20</v>
      </c>
      <c r="C333" s="7" t="s">
        <v>21</v>
      </c>
      <c r="D333" s="7" t="s">
        <v>696</v>
      </c>
      <c r="E333" s="8">
        <v>17448</v>
      </c>
      <c r="F333" s="8">
        <v>18325</v>
      </c>
      <c r="G333" s="8">
        <v>19438</v>
      </c>
      <c r="H333" s="8">
        <v>23726</v>
      </c>
      <c r="I333" s="8">
        <v>23960</v>
      </c>
      <c r="J333" s="8">
        <v>23590</v>
      </c>
      <c r="K333" s="8">
        <v>22995</v>
      </c>
      <c r="L333" s="8">
        <v>24057</v>
      </c>
      <c r="M333" s="8">
        <v>25266.69043241733</v>
      </c>
      <c r="N333" s="8">
        <v>26235.810335741455</v>
      </c>
    </row>
    <row r="334" spans="1:14" x14ac:dyDescent="0.25">
      <c r="A334" s="6" t="s">
        <v>695</v>
      </c>
      <c r="B334" s="7" t="s">
        <v>20</v>
      </c>
      <c r="C334" s="7" t="s">
        <v>21</v>
      </c>
      <c r="D334" s="7" t="s">
        <v>694</v>
      </c>
      <c r="E334" s="8">
        <v>4047</v>
      </c>
      <c r="F334" s="8">
        <v>4309</v>
      </c>
      <c r="G334" s="8">
        <v>4880</v>
      </c>
      <c r="H334" s="8">
        <v>5907</v>
      </c>
      <c r="I334" s="8">
        <v>5899</v>
      </c>
      <c r="J334" s="8">
        <v>6513</v>
      </c>
      <c r="K334" s="8">
        <v>6473</v>
      </c>
      <c r="L334" s="8">
        <v>5856</v>
      </c>
      <c r="M334" s="8">
        <v>5404.7489014305356</v>
      </c>
      <c r="N334" s="8">
        <v>5097.2928113965727</v>
      </c>
    </row>
    <row r="335" spans="1:14" x14ac:dyDescent="0.25">
      <c r="A335" s="6" t="s">
        <v>693</v>
      </c>
      <c r="B335" s="7" t="s">
        <v>20</v>
      </c>
      <c r="C335" s="7" t="s">
        <v>21</v>
      </c>
      <c r="D335" s="7" t="s">
        <v>692</v>
      </c>
      <c r="E335" s="8">
        <v>1926</v>
      </c>
      <c r="F335" s="8">
        <v>1816</v>
      </c>
      <c r="G335" s="8">
        <v>1808</v>
      </c>
      <c r="H335" s="8">
        <v>3576</v>
      </c>
      <c r="I335" s="8">
        <v>3769</v>
      </c>
      <c r="J335" s="8">
        <v>2918</v>
      </c>
      <c r="K335" s="8">
        <v>2042</v>
      </c>
      <c r="L335" s="8">
        <v>1977</v>
      </c>
      <c r="M335" s="8">
        <v>1894.3864470541489</v>
      </c>
      <c r="N335" s="8">
        <v>1630.0915457245765</v>
      </c>
    </row>
    <row r="336" spans="1:14" x14ac:dyDescent="0.25">
      <c r="A336" s="6" t="s">
        <v>691</v>
      </c>
      <c r="B336" s="7" t="s">
        <v>20</v>
      </c>
      <c r="C336" s="7" t="s">
        <v>21</v>
      </c>
      <c r="D336" s="7" t="s">
        <v>690</v>
      </c>
      <c r="E336" s="8">
        <v>3503</v>
      </c>
      <c r="F336" s="8">
        <v>3410</v>
      </c>
      <c r="G336" s="8">
        <v>3435</v>
      </c>
      <c r="H336" s="8">
        <v>3641</v>
      </c>
      <c r="I336" s="8">
        <v>3323</v>
      </c>
      <c r="J336" s="8">
        <v>3076</v>
      </c>
      <c r="K336" s="8">
        <v>2718</v>
      </c>
      <c r="L336" s="8">
        <v>2686</v>
      </c>
      <c r="M336" s="8">
        <v>2639.7460004732557</v>
      </c>
      <c r="N336" s="8">
        <v>2622.872243778505</v>
      </c>
    </row>
    <row r="337" spans="1:14" x14ac:dyDescent="0.25">
      <c r="A337" s="6" t="s">
        <v>689</v>
      </c>
      <c r="B337" s="7" t="s">
        <v>20</v>
      </c>
      <c r="C337" s="7" t="s">
        <v>21</v>
      </c>
      <c r="D337" s="7" t="s">
        <v>688</v>
      </c>
      <c r="E337" s="8">
        <v>5513</v>
      </c>
      <c r="F337" s="8">
        <v>6393</v>
      </c>
      <c r="G337" s="8">
        <v>7275</v>
      </c>
      <c r="H337" s="8">
        <v>8590</v>
      </c>
      <c r="I337" s="8">
        <v>9053</v>
      </c>
      <c r="J337" s="8">
        <v>9199</v>
      </c>
      <c r="K337" s="8">
        <v>9926</v>
      </c>
      <c r="L337" s="8">
        <v>11721</v>
      </c>
      <c r="M337" s="8">
        <v>13476.503318697158</v>
      </c>
      <c r="N337" s="8">
        <v>15139.400804677121</v>
      </c>
    </row>
    <row r="338" spans="1:14" x14ac:dyDescent="0.25">
      <c r="A338" s="6" t="s">
        <v>687</v>
      </c>
      <c r="B338" s="7" t="s">
        <v>20</v>
      </c>
      <c r="C338" s="7" t="s">
        <v>21</v>
      </c>
      <c r="D338" s="7" t="s">
        <v>686</v>
      </c>
      <c r="E338" s="8">
        <v>922</v>
      </c>
      <c r="F338" s="8">
        <v>939</v>
      </c>
      <c r="G338" s="8">
        <v>1015</v>
      </c>
      <c r="H338" s="8">
        <v>1085</v>
      </c>
      <c r="I338" s="8">
        <v>1071</v>
      </c>
      <c r="J338" s="8">
        <v>1117</v>
      </c>
      <c r="K338" s="8">
        <v>1140</v>
      </c>
      <c r="L338" s="8">
        <v>1214</v>
      </c>
      <c r="M338" s="8">
        <v>1195.518978088103</v>
      </c>
      <c r="N338" s="8">
        <v>1047.7945416642581</v>
      </c>
    </row>
    <row r="339" spans="1:14" x14ac:dyDescent="0.25">
      <c r="A339" s="6" t="s">
        <v>685</v>
      </c>
      <c r="B339" s="7" t="s">
        <v>20</v>
      </c>
      <c r="C339" s="7" t="s">
        <v>21</v>
      </c>
      <c r="D339" s="7" t="s">
        <v>684</v>
      </c>
      <c r="E339" s="8">
        <v>1537</v>
      </c>
      <c r="F339" s="8">
        <v>1458</v>
      </c>
      <c r="G339" s="8">
        <v>1025</v>
      </c>
      <c r="H339" s="8">
        <v>927</v>
      </c>
      <c r="I339" s="8">
        <v>845</v>
      </c>
      <c r="J339" s="8">
        <v>765</v>
      </c>
      <c r="K339" s="8">
        <v>696</v>
      </c>
      <c r="L339" s="8">
        <v>603</v>
      </c>
      <c r="M339" s="8">
        <v>565.83223498191546</v>
      </c>
      <c r="N339" s="8">
        <v>527.72016988757753</v>
      </c>
    </row>
    <row r="340" spans="1:14" x14ac:dyDescent="0.25">
      <c r="A340" s="6" t="s">
        <v>683</v>
      </c>
      <c r="B340" s="7" t="s">
        <v>20</v>
      </c>
      <c r="C340" s="7" t="s">
        <v>21</v>
      </c>
      <c r="D340" s="7" t="s">
        <v>682</v>
      </c>
      <c r="E340" s="8">
        <v>14157</v>
      </c>
      <c r="F340" s="8">
        <v>13579</v>
      </c>
      <c r="G340" s="8">
        <v>11925</v>
      </c>
      <c r="H340" s="8">
        <v>14374</v>
      </c>
      <c r="I340" s="8">
        <v>14049</v>
      </c>
      <c r="J340" s="8">
        <v>15125</v>
      </c>
      <c r="K340" s="8">
        <v>15524</v>
      </c>
      <c r="L340" s="8">
        <v>16384</v>
      </c>
      <c r="M340" s="8">
        <v>17369.132071731005</v>
      </c>
      <c r="N340" s="8">
        <v>18255.382051170087</v>
      </c>
    </row>
    <row r="341" spans="1:14" x14ac:dyDescent="0.25">
      <c r="A341" s="6" t="s">
        <v>681</v>
      </c>
      <c r="B341" s="7" t="s">
        <v>20</v>
      </c>
      <c r="C341" s="7" t="s">
        <v>21</v>
      </c>
      <c r="D341" s="7" t="s">
        <v>680</v>
      </c>
      <c r="E341" s="8">
        <v>1363</v>
      </c>
      <c r="F341" s="8">
        <v>1554</v>
      </c>
      <c r="G341" s="8">
        <v>1596</v>
      </c>
      <c r="H341" s="8">
        <v>2135</v>
      </c>
      <c r="I341" s="8">
        <v>2131</v>
      </c>
      <c r="J341" s="8">
        <v>2717</v>
      </c>
      <c r="K341" s="8">
        <v>3194</v>
      </c>
      <c r="L341" s="8">
        <v>3623</v>
      </c>
      <c r="M341" s="8">
        <v>4031.0401736307908</v>
      </c>
      <c r="N341" s="8">
        <v>4462.7435135140486</v>
      </c>
    </row>
    <row r="342" spans="1:14" x14ac:dyDescent="0.25">
      <c r="A342" s="6" t="s">
        <v>679</v>
      </c>
      <c r="B342" s="7" t="s">
        <v>20</v>
      </c>
      <c r="C342" s="7" t="s">
        <v>21</v>
      </c>
      <c r="D342" s="7" t="s">
        <v>678</v>
      </c>
      <c r="E342" s="8">
        <v>3604</v>
      </c>
      <c r="F342" s="8">
        <v>3520</v>
      </c>
      <c r="G342" s="8">
        <v>2984</v>
      </c>
      <c r="H342" s="8">
        <v>3462</v>
      </c>
      <c r="I342" s="8">
        <v>3266</v>
      </c>
      <c r="J342" s="8">
        <v>3417</v>
      </c>
      <c r="K342" s="8">
        <v>3470</v>
      </c>
      <c r="L342" s="8">
        <v>3538</v>
      </c>
      <c r="M342" s="8">
        <v>3675.5603806304525</v>
      </c>
      <c r="N342" s="8">
        <v>3774.2644780768114</v>
      </c>
    </row>
    <row r="343" spans="1:14" x14ac:dyDescent="0.25">
      <c r="A343" s="6" t="s">
        <v>677</v>
      </c>
      <c r="B343" s="7" t="s">
        <v>20</v>
      </c>
      <c r="C343" s="7" t="s">
        <v>21</v>
      </c>
      <c r="D343" s="7" t="s">
        <v>676</v>
      </c>
      <c r="E343" s="8">
        <v>5776</v>
      </c>
      <c r="F343" s="8">
        <v>5673</v>
      </c>
      <c r="G343" s="8">
        <v>4983</v>
      </c>
      <c r="H343" s="8">
        <v>5946</v>
      </c>
      <c r="I343" s="8">
        <v>5793</v>
      </c>
      <c r="J343" s="8">
        <v>6006</v>
      </c>
      <c r="K343" s="8">
        <v>5842</v>
      </c>
      <c r="L343" s="8">
        <v>5980</v>
      </c>
      <c r="M343" s="8">
        <v>6213.0268358828398</v>
      </c>
      <c r="N343" s="8">
        <v>6410.6248418034984</v>
      </c>
    </row>
    <row r="344" spans="1:14" x14ac:dyDescent="0.25">
      <c r="A344" s="6" t="s">
        <v>675</v>
      </c>
      <c r="B344" s="7" t="s">
        <v>20</v>
      </c>
      <c r="C344" s="7" t="s">
        <v>21</v>
      </c>
      <c r="D344" s="7" t="s">
        <v>674</v>
      </c>
      <c r="E344" s="8">
        <v>2776</v>
      </c>
      <c r="F344" s="8">
        <v>2830</v>
      </c>
      <c r="G344" s="8">
        <v>2362</v>
      </c>
      <c r="H344" s="8">
        <v>2831</v>
      </c>
      <c r="I344" s="8">
        <v>2859</v>
      </c>
      <c r="J344" s="8">
        <v>2986</v>
      </c>
      <c r="K344" s="8">
        <v>3018</v>
      </c>
      <c r="L344" s="8">
        <v>3243</v>
      </c>
      <c r="M344" s="8">
        <v>3442.8977787205977</v>
      </c>
      <c r="N344" s="8">
        <v>3590.4668663540906</v>
      </c>
    </row>
    <row r="345" spans="1:14" x14ac:dyDescent="0.25">
      <c r="A345" s="6" t="s">
        <v>17</v>
      </c>
      <c r="B345" s="7"/>
      <c r="C345" s="7"/>
      <c r="D345" s="7"/>
      <c r="E345" s="8"/>
      <c r="F345" s="8"/>
      <c r="G345" s="8"/>
      <c r="H345" s="8"/>
      <c r="I345" s="8"/>
      <c r="J345" s="8"/>
      <c r="K345" s="8"/>
      <c r="L345" s="8"/>
      <c r="M345" s="8"/>
      <c r="N345" s="8"/>
    </row>
    <row r="346" spans="1:14" x14ac:dyDescent="0.25">
      <c r="A346" s="6" t="s">
        <v>78</v>
      </c>
      <c r="B346" s="7"/>
      <c r="C346" s="7"/>
      <c r="D346" s="7"/>
      <c r="E346" s="8"/>
      <c r="F346" s="8"/>
      <c r="G346" s="8"/>
      <c r="H346" s="8"/>
      <c r="I346" s="8"/>
      <c r="J346" s="8"/>
      <c r="K346" s="8"/>
      <c r="L346" s="8"/>
      <c r="M346" s="8"/>
      <c r="N346" s="8"/>
    </row>
    <row r="347" spans="1:14" x14ac:dyDescent="0.25">
      <c r="A347" s="6" t="s">
        <v>673</v>
      </c>
      <c r="B347" s="7"/>
      <c r="C347" s="7"/>
      <c r="D347" s="7"/>
      <c r="E347" s="8"/>
      <c r="F347" s="8"/>
      <c r="G347" s="8"/>
      <c r="H347" s="8"/>
      <c r="I347" s="8"/>
      <c r="J347" s="8"/>
      <c r="K347" s="8"/>
      <c r="L347" s="8"/>
      <c r="M347" s="8"/>
      <c r="N347" s="8"/>
    </row>
    <row r="348" spans="1:14" x14ac:dyDescent="0.25">
      <c r="A348" s="6" t="s">
        <v>654</v>
      </c>
      <c r="B348" s="7" t="s">
        <v>20</v>
      </c>
      <c r="C348" s="7" t="s">
        <v>21</v>
      </c>
      <c r="D348" s="7" t="s">
        <v>672</v>
      </c>
      <c r="E348" s="8">
        <v>1116</v>
      </c>
      <c r="F348" s="8">
        <v>751</v>
      </c>
      <c r="G348" s="8">
        <v>408</v>
      </c>
      <c r="H348" s="8" t="s">
        <v>1483</v>
      </c>
      <c r="I348" s="8" t="s">
        <v>1483</v>
      </c>
      <c r="J348" s="8" t="s">
        <v>1483</v>
      </c>
      <c r="K348" s="8" t="s">
        <v>1483</v>
      </c>
      <c r="L348" s="8" t="s">
        <v>1483</v>
      </c>
      <c r="M348" s="8" t="s">
        <v>1483</v>
      </c>
      <c r="N348" s="8" t="s">
        <v>1483</v>
      </c>
    </row>
    <row r="349" spans="1:14" x14ac:dyDescent="0.25">
      <c r="A349" s="6" t="s">
        <v>671</v>
      </c>
      <c r="B349" s="7" t="s">
        <v>20</v>
      </c>
      <c r="C349" s="7" t="s">
        <v>21</v>
      </c>
      <c r="D349" s="7" t="s">
        <v>670</v>
      </c>
      <c r="E349" s="8">
        <v>278</v>
      </c>
      <c r="F349" s="8">
        <v>210</v>
      </c>
      <c r="G349" s="8">
        <v>0</v>
      </c>
      <c r="H349" s="8" t="s">
        <v>1483</v>
      </c>
      <c r="I349" s="8" t="s">
        <v>1483</v>
      </c>
      <c r="J349" s="8" t="s">
        <v>1483</v>
      </c>
      <c r="K349" s="8" t="s">
        <v>1483</v>
      </c>
      <c r="L349" s="8" t="s">
        <v>1483</v>
      </c>
      <c r="M349" s="8" t="s">
        <v>1483</v>
      </c>
      <c r="N349" s="8" t="s">
        <v>1483</v>
      </c>
    </row>
    <row r="350" spans="1:14" x14ac:dyDescent="0.25">
      <c r="A350" s="6" t="s">
        <v>656</v>
      </c>
      <c r="B350" s="7" t="s">
        <v>20</v>
      </c>
      <c r="C350" s="7" t="s">
        <v>21</v>
      </c>
      <c r="D350" s="7" t="s">
        <v>669</v>
      </c>
      <c r="E350" s="8">
        <v>314</v>
      </c>
      <c r="F350" s="8">
        <v>285</v>
      </c>
      <c r="G350" s="8">
        <v>274</v>
      </c>
      <c r="H350" s="8">
        <v>256</v>
      </c>
      <c r="I350" s="8" t="s">
        <v>1483</v>
      </c>
      <c r="J350" s="8" t="s">
        <v>1483</v>
      </c>
      <c r="K350" s="8" t="s">
        <v>1483</v>
      </c>
      <c r="L350" s="8" t="s">
        <v>1483</v>
      </c>
      <c r="M350" s="8">
        <v>135.38509876375042</v>
      </c>
      <c r="N350" s="8">
        <v>121.84658888737538</v>
      </c>
    </row>
    <row r="351" spans="1:14" x14ac:dyDescent="0.25">
      <c r="A351" s="6" t="s">
        <v>652</v>
      </c>
      <c r="B351" s="7" t="s">
        <v>20</v>
      </c>
      <c r="C351" s="7" t="s">
        <v>21</v>
      </c>
      <c r="D351" s="7" t="s">
        <v>668</v>
      </c>
      <c r="E351" s="8">
        <v>422</v>
      </c>
      <c r="F351" s="8">
        <v>374</v>
      </c>
      <c r="G351" s="8">
        <v>345</v>
      </c>
      <c r="H351" s="8">
        <v>305</v>
      </c>
      <c r="I351" s="8">
        <v>228</v>
      </c>
      <c r="J351" s="8" t="s">
        <v>1483</v>
      </c>
      <c r="K351" s="8" t="s">
        <v>1483</v>
      </c>
      <c r="L351" s="8" t="s">
        <v>1483</v>
      </c>
      <c r="M351" s="8">
        <v>128.36984805953955</v>
      </c>
      <c r="N351" s="8">
        <v>115.5328632535856</v>
      </c>
    </row>
    <row r="352" spans="1:14" x14ac:dyDescent="0.25">
      <c r="A352" s="6" t="s">
        <v>650</v>
      </c>
      <c r="B352" s="7" t="s">
        <v>20</v>
      </c>
      <c r="C352" s="7" t="s">
        <v>21</v>
      </c>
      <c r="D352" s="7" t="s">
        <v>667</v>
      </c>
      <c r="E352" s="8">
        <v>170</v>
      </c>
      <c r="F352" s="8">
        <v>199</v>
      </c>
      <c r="G352" s="8">
        <v>231</v>
      </c>
      <c r="H352" s="8">
        <v>254</v>
      </c>
      <c r="I352" s="8">
        <v>255</v>
      </c>
      <c r="J352" s="8" t="s">
        <v>1483</v>
      </c>
      <c r="K352" s="8" t="s">
        <v>1483</v>
      </c>
      <c r="L352" s="8" t="s">
        <v>1483</v>
      </c>
      <c r="M352" s="8">
        <v>219.4101649681761</v>
      </c>
      <c r="N352" s="8">
        <v>229.84907403554564</v>
      </c>
    </row>
    <row r="353" spans="1:14" x14ac:dyDescent="0.25">
      <c r="A353" s="6" t="s">
        <v>666</v>
      </c>
      <c r="B353" s="7" t="s">
        <v>20</v>
      </c>
      <c r="C353" s="7" t="s">
        <v>21</v>
      </c>
      <c r="D353" s="7" t="s">
        <v>665</v>
      </c>
      <c r="E353" s="8" t="s">
        <v>1483</v>
      </c>
      <c r="F353" s="8" t="s">
        <v>1483</v>
      </c>
      <c r="G353" s="8" t="s">
        <v>1483</v>
      </c>
      <c r="H353" s="8" t="s">
        <v>1483</v>
      </c>
      <c r="I353" s="8" t="s">
        <v>1483</v>
      </c>
      <c r="J353" s="8" t="s">
        <v>1483</v>
      </c>
      <c r="K353" s="8" t="s">
        <v>1483</v>
      </c>
      <c r="L353" s="8" t="s">
        <v>1483</v>
      </c>
      <c r="M353" s="8" t="s">
        <v>1483</v>
      </c>
      <c r="N353" s="8" t="s">
        <v>1483</v>
      </c>
    </row>
    <row r="354" spans="1:14" x14ac:dyDescent="0.25">
      <c r="A354" s="6" t="s">
        <v>648</v>
      </c>
      <c r="B354" s="7" t="s">
        <v>20</v>
      </c>
      <c r="C354" s="7" t="s">
        <v>21</v>
      </c>
      <c r="D354" s="7" t="s">
        <v>664</v>
      </c>
      <c r="E354" s="8">
        <v>8092</v>
      </c>
      <c r="F354" s="8">
        <v>8058</v>
      </c>
      <c r="G354" s="8">
        <v>8088</v>
      </c>
      <c r="H354" s="8">
        <v>8517</v>
      </c>
      <c r="I354" s="8">
        <v>8354</v>
      </c>
      <c r="J354" s="8" t="s">
        <v>1483</v>
      </c>
      <c r="K354" s="8" t="s">
        <v>1483</v>
      </c>
      <c r="L354" s="8" t="s">
        <v>1483</v>
      </c>
      <c r="M354" s="8">
        <v>9638.643974492561</v>
      </c>
      <c r="N354" s="8">
        <v>9810.7076907834544</v>
      </c>
    </row>
    <row r="355" spans="1:14" x14ac:dyDescent="0.25">
      <c r="A355" s="6" t="s">
        <v>646</v>
      </c>
      <c r="B355" s="7" t="s">
        <v>20</v>
      </c>
      <c r="C355" s="7" t="s">
        <v>21</v>
      </c>
      <c r="D355" s="7" t="s">
        <v>663</v>
      </c>
      <c r="E355" s="8">
        <v>2484</v>
      </c>
      <c r="F355" s="8">
        <v>2434</v>
      </c>
      <c r="G355" s="8">
        <v>2761</v>
      </c>
      <c r="H355" s="8">
        <v>3032</v>
      </c>
      <c r="I355" s="8">
        <v>3249</v>
      </c>
      <c r="J355" s="8" t="s">
        <v>1483</v>
      </c>
      <c r="K355" s="8" t="s">
        <v>1483</v>
      </c>
      <c r="L355" s="8" t="s">
        <v>1483</v>
      </c>
      <c r="M355" s="8">
        <v>4049.8974186110995</v>
      </c>
      <c r="N355" s="8">
        <v>4130.8953669833218</v>
      </c>
    </row>
    <row r="356" spans="1:14" x14ac:dyDescent="0.25">
      <c r="A356" s="6" t="s">
        <v>644</v>
      </c>
      <c r="B356" s="7" t="s">
        <v>20</v>
      </c>
      <c r="C356" s="7" t="s">
        <v>21</v>
      </c>
      <c r="D356" s="7" t="s">
        <v>662</v>
      </c>
      <c r="E356" s="8">
        <v>1979</v>
      </c>
      <c r="F356" s="8">
        <v>2201</v>
      </c>
      <c r="G356" s="8">
        <v>2100</v>
      </c>
      <c r="H356" s="8">
        <v>2141</v>
      </c>
      <c r="I356" s="8">
        <v>2015</v>
      </c>
      <c r="J356" s="8" t="s">
        <v>1483</v>
      </c>
      <c r="K356" s="8" t="s">
        <v>1483</v>
      </c>
      <c r="L356" s="8" t="s">
        <v>1483</v>
      </c>
      <c r="M356" s="8">
        <v>2289.5468334710999</v>
      </c>
      <c r="N356" s="8">
        <v>2335.337770140522</v>
      </c>
    </row>
    <row r="357" spans="1:14" x14ac:dyDescent="0.25">
      <c r="A357" s="6" t="s">
        <v>642</v>
      </c>
      <c r="B357" s="7" t="s">
        <v>20</v>
      </c>
      <c r="C357" s="7" t="s">
        <v>21</v>
      </c>
      <c r="D357" s="7" t="s">
        <v>661</v>
      </c>
      <c r="E357" s="8">
        <v>918</v>
      </c>
      <c r="F357" s="8">
        <v>906</v>
      </c>
      <c r="G357" s="8">
        <v>958</v>
      </c>
      <c r="H357" s="8">
        <v>1008</v>
      </c>
      <c r="I357" s="8">
        <v>871</v>
      </c>
      <c r="J357" s="8" t="s">
        <v>1483</v>
      </c>
      <c r="K357" s="8" t="s">
        <v>1483</v>
      </c>
      <c r="L357" s="8" t="s">
        <v>1483</v>
      </c>
      <c r="M357" s="8">
        <v>933.15121350984009</v>
      </c>
      <c r="N357" s="8">
        <v>951.81423778003693</v>
      </c>
    </row>
    <row r="358" spans="1:14" x14ac:dyDescent="0.25">
      <c r="A358" s="6" t="s">
        <v>640</v>
      </c>
      <c r="B358" s="7" t="s">
        <v>20</v>
      </c>
      <c r="C358" s="7" t="s">
        <v>21</v>
      </c>
      <c r="D358" s="7" t="s">
        <v>660</v>
      </c>
      <c r="E358" s="8">
        <v>1436</v>
      </c>
      <c r="F358" s="8">
        <v>1313</v>
      </c>
      <c r="G358" s="8">
        <v>1141</v>
      </c>
      <c r="H358" s="8">
        <v>1188</v>
      </c>
      <c r="I358" s="8">
        <v>1104</v>
      </c>
      <c r="J358" s="8" t="s">
        <v>1483</v>
      </c>
      <c r="K358" s="8" t="s">
        <v>1483</v>
      </c>
      <c r="L358" s="8" t="s">
        <v>1483</v>
      </c>
      <c r="M358" s="8">
        <v>1212.9250190048999</v>
      </c>
      <c r="N358" s="8">
        <v>1237.1835193849979</v>
      </c>
    </row>
    <row r="359" spans="1:14" x14ac:dyDescent="0.25">
      <c r="A359" s="6" t="s">
        <v>638</v>
      </c>
      <c r="B359" s="7" t="s">
        <v>20</v>
      </c>
      <c r="C359" s="7" t="s">
        <v>21</v>
      </c>
      <c r="D359" s="7" t="s">
        <v>659</v>
      </c>
      <c r="E359" s="8">
        <v>1036</v>
      </c>
      <c r="F359" s="8">
        <v>974</v>
      </c>
      <c r="G359" s="8">
        <v>888</v>
      </c>
      <c r="H359" s="8">
        <v>905</v>
      </c>
      <c r="I359" s="8">
        <v>891</v>
      </c>
      <c r="J359" s="8" t="s">
        <v>1483</v>
      </c>
      <c r="K359" s="8" t="s">
        <v>1483</v>
      </c>
      <c r="L359" s="8" t="s">
        <v>1483</v>
      </c>
      <c r="M359" s="8">
        <v>917.79283000000009</v>
      </c>
      <c r="N359" s="8">
        <v>917.79283000000009</v>
      </c>
    </row>
    <row r="360" spans="1:14" x14ac:dyDescent="0.25">
      <c r="A360" s="6" t="s">
        <v>636</v>
      </c>
      <c r="B360" s="7" t="s">
        <v>20</v>
      </c>
      <c r="C360" s="7" t="s">
        <v>21</v>
      </c>
      <c r="D360" s="7" t="s">
        <v>658</v>
      </c>
      <c r="E360" s="8">
        <v>239</v>
      </c>
      <c r="F360" s="8">
        <v>230</v>
      </c>
      <c r="G360" s="8">
        <v>240</v>
      </c>
      <c r="H360" s="8">
        <v>243</v>
      </c>
      <c r="I360" s="8">
        <v>224</v>
      </c>
      <c r="J360" s="8" t="s">
        <v>1483</v>
      </c>
      <c r="K360" s="8" t="s">
        <v>1483</v>
      </c>
      <c r="L360" s="8" t="s">
        <v>1483</v>
      </c>
      <c r="M360" s="8">
        <v>225.98259590024634</v>
      </c>
      <c r="N360" s="8">
        <v>227.15924919972443</v>
      </c>
    </row>
    <row r="361" spans="1:14" x14ac:dyDescent="0.25">
      <c r="A361" s="6" t="s">
        <v>657</v>
      </c>
      <c r="B361" s="7"/>
      <c r="C361" s="7"/>
      <c r="D361" s="7"/>
      <c r="E361" s="8"/>
      <c r="F361" s="8"/>
      <c r="G361" s="8"/>
      <c r="H361" s="8"/>
      <c r="I361" s="8"/>
      <c r="J361" s="8"/>
      <c r="K361" s="8"/>
      <c r="L361" s="8"/>
      <c r="M361" s="8"/>
      <c r="N361" s="8"/>
    </row>
    <row r="362" spans="1:14" x14ac:dyDescent="0.25">
      <c r="A362" s="6" t="s">
        <v>656</v>
      </c>
      <c r="B362" s="7" t="s">
        <v>20</v>
      </c>
      <c r="C362" s="7" t="s">
        <v>21</v>
      </c>
      <c r="D362" s="7" t="s">
        <v>655</v>
      </c>
      <c r="E362" s="8">
        <v>674</v>
      </c>
      <c r="F362" s="8">
        <v>505</v>
      </c>
      <c r="G362" s="8">
        <v>0</v>
      </c>
      <c r="H362" s="8">
        <v>223</v>
      </c>
      <c r="I362" s="8" t="s">
        <v>1483</v>
      </c>
      <c r="J362" s="8" t="s">
        <v>1483</v>
      </c>
      <c r="K362" s="8" t="s">
        <v>1483</v>
      </c>
      <c r="L362" s="8" t="s">
        <v>1483</v>
      </c>
      <c r="M362" s="8">
        <v>86.32</v>
      </c>
      <c r="N362" s="8">
        <v>73.372</v>
      </c>
    </row>
    <row r="363" spans="1:14" x14ac:dyDescent="0.25">
      <c r="A363" s="6" t="s">
        <v>654</v>
      </c>
      <c r="B363" s="7" t="s">
        <v>20</v>
      </c>
      <c r="C363" s="7" t="s">
        <v>21</v>
      </c>
      <c r="D363" s="7" t="s">
        <v>653</v>
      </c>
      <c r="E363" s="8">
        <v>0</v>
      </c>
      <c r="F363" s="8">
        <v>0</v>
      </c>
      <c r="G363" s="8">
        <v>0</v>
      </c>
      <c r="H363" s="8" t="s">
        <v>1483</v>
      </c>
      <c r="I363" s="8" t="s">
        <v>1483</v>
      </c>
      <c r="J363" s="8" t="s">
        <v>1483</v>
      </c>
      <c r="K363" s="8" t="s">
        <v>1483</v>
      </c>
      <c r="L363" s="8" t="s">
        <v>1483</v>
      </c>
      <c r="M363" s="8" t="s">
        <v>1483</v>
      </c>
      <c r="N363" s="8" t="s">
        <v>1483</v>
      </c>
    </row>
    <row r="364" spans="1:14" x14ac:dyDescent="0.25">
      <c r="A364" s="6" t="s">
        <v>652</v>
      </c>
      <c r="B364" s="7" t="s">
        <v>20</v>
      </c>
      <c r="C364" s="7" t="s">
        <v>21</v>
      </c>
      <c r="D364" s="7" t="s">
        <v>651</v>
      </c>
      <c r="E364" s="8">
        <v>315</v>
      </c>
      <c r="F364" s="8">
        <v>314</v>
      </c>
      <c r="G364" s="8">
        <v>296</v>
      </c>
      <c r="H364" s="8">
        <v>287</v>
      </c>
      <c r="I364" s="8">
        <v>257</v>
      </c>
      <c r="J364" s="8" t="s">
        <v>1483</v>
      </c>
      <c r="K364" s="8" t="s">
        <v>1483</v>
      </c>
      <c r="L364" s="8" t="s">
        <v>1483</v>
      </c>
      <c r="M364" s="8">
        <v>128.79634999999999</v>
      </c>
      <c r="N364" s="8">
        <v>113.69234</v>
      </c>
    </row>
    <row r="365" spans="1:14" x14ac:dyDescent="0.25">
      <c r="A365" s="6" t="s">
        <v>650</v>
      </c>
      <c r="B365" s="7" t="s">
        <v>20</v>
      </c>
      <c r="C365" s="7" t="s">
        <v>21</v>
      </c>
      <c r="D365" s="7" t="s">
        <v>649</v>
      </c>
      <c r="E365" s="8">
        <v>711</v>
      </c>
      <c r="F365" s="8">
        <v>536</v>
      </c>
      <c r="G365" s="8">
        <v>564</v>
      </c>
      <c r="H365" s="8">
        <v>308</v>
      </c>
      <c r="I365" s="8">
        <v>193</v>
      </c>
      <c r="J365" s="8" t="s">
        <v>1483</v>
      </c>
      <c r="K365" s="8" t="s">
        <v>1483</v>
      </c>
      <c r="L365" s="8" t="s">
        <v>1483</v>
      </c>
      <c r="M365" s="8">
        <v>74.973603124999997</v>
      </c>
      <c r="N365" s="8">
        <v>60.037562656250003</v>
      </c>
    </row>
    <row r="366" spans="1:14" x14ac:dyDescent="0.25">
      <c r="A366" s="6" t="s">
        <v>648</v>
      </c>
      <c r="B366" s="7" t="s">
        <v>20</v>
      </c>
      <c r="C366" s="7" t="s">
        <v>21</v>
      </c>
      <c r="D366" s="7" t="s">
        <v>647</v>
      </c>
      <c r="E366" s="8">
        <v>5761</v>
      </c>
      <c r="F366" s="8">
        <v>5835</v>
      </c>
      <c r="G366" s="8">
        <v>6362</v>
      </c>
      <c r="H366" s="8">
        <v>6517</v>
      </c>
      <c r="I366" s="8">
        <v>6599</v>
      </c>
      <c r="J366" s="8" t="s">
        <v>1483</v>
      </c>
      <c r="K366" s="8" t="s">
        <v>1483</v>
      </c>
      <c r="L366" s="8" t="s">
        <v>1483</v>
      </c>
      <c r="M366" s="8">
        <v>7716.9010734505164</v>
      </c>
      <c r="N366" s="8">
        <v>7865.9348202828305</v>
      </c>
    </row>
    <row r="367" spans="1:14" x14ac:dyDescent="0.25">
      <c r="A367" s="6" t="s">
        <v>646</v>
      </c>
      <c r="B367" s="7" t="s">
        <v>20</v>
      </c>
      <c r="C367" s="7" t="s">
        <v>21</v>
      </c>
      <c r="D367" s="7" t="s">
        <v>645</v>
      </c>
      <c r="E367" s="8">
        <v>1850</v>
      </c>
      <c r="F367" s="8">
        <v>2008</v>
      </c>
      <c r="G367" s="8">
        <v>2460</v>
      </c>
      <c r="H367" s="8">
        <v>2594</v>
      </c>
      <c r="I367" s="8">
        <v>2782</v>
      </c>
      <c r="J367" s="8" t="s">
        <v>1483</v>
      </c>
      <c r="K367" s="8" t="s">
        <v>1483</v>
      </c>
      <c r="L367" s="8" t="s">
        <v>1483</v>
      </c>
      <c r="M367" s="8">
        <v>3283.8811005357006</v>
      </c>
      <c r="N367" s="8">
        <v>3349.5587225464146</v>
      </c>
    </row>
    <row r="368" spans="1:14" x14ac:dyDescent="0.25">
      <c r="A368" s="6" t="s">
        <v>644</v>
      </c>
      <c r="B368" s="7" t="s">
        <v>20</v>
      </c>
      <c r="C368" s="7" t="s">
        <v>21</v>
      </c>
      <c r="D368" s="7" t="s">
        <v>643</v>
      </c>
      <c r="E368" s="8">
        <v>2403</v>
      </c>
      <c r="F368" s="8">
        <v>2392</v>
      </c>
      <c r="G368" s="8">
        <v>2350</v>
      </c>
      <c r="H368" s="8">
        <v>2400</v>
      </c>
      <c r="I368" s="8">
        <v>2337</v>
      </c>
      <c r="J368" s="8" t="s">
        <v>1483</v>
      </c>
      <c r="K368" s="8" t="s">
        <v>1483</v>
      </c>
      <c r="L368" s="8" t="s">
        <v>1483</v>
      </c>
      <c r="M368" s="8">
        <v>2773.3411870954242</v>
      </c>
      <c r="N368" s="8">
        <v>2828.8080108373329</v>
      </c>
    </row>
    <row r="369" spans="1:14" x14ac:dyDescent="0.25">
      <c r="A369" s="6" t="s">
        <v>642</v>
      </c>
      <c r="B369" s="7" t="s">
        <v>20</v>
      </c>
      <c r="C369" s="7" t="s">
        <v>21</v>
      </c>
      <c r="D369" s="7" t="s">
        <v>641</v>
      </c>
      <c r="E369" s="8">
        <v>637</v>
      </c>
      <c r="F369" s="8">
        <v>621</v>
      </c>
      <c r="G369" s="8">
        <v>683</v>
      </c>
      <c r="H369" s="8">
        <v>637</v>
      </c>
      <c r="I369" s="8">
        <v>635</v>
      </c>
      <c r="J369" s="8" t="s">
        <v>1483</v>
      </c>
      <c r="K369" s="8" t="s">
        <v>1483</v>
      </c>
      <c r="L369" s="8" t="s">
        <v>1483</v>
      </c>
      <c r="M369" s="8">
        <v>727.83387668808007</v>
      </c>
      <c r="N369" s="8">
        <v>742.39055422184163</v>
      </c>
    </row>
    <row r="370" spans="1:14" x14ac:dyDescent="0.25">
      <c r="A370" s="6" t="s">
        <v>640</v>
      </c>
      <c r="B370" s="7" t="s">
        <v>20</v>
      </c>
      <c r="C370" s="7" t="s">
        <v>21</v>
      </c>
      <c r="D370" s="7" t="s">
        <v>639</v>
      </c>
      <c r="E370" s="8">
        <v>422</v>
      </c>
      <c r="F370" s="8">
        <v>361</v>
      </c>
      <c r="G370" s="8">
        <v>376</v>
      </c>
      <c r="H370" s="8">
        <v>378</v>
      </c>
      <c r="I370" s="8">
        <v>357</v>
      </c>
      <c r="J370" s="8" t="s">
        <v>1483</v>
      </c>
      <c r="K370" s="8" t="s">
        <v>1483</v>
      </c>
      <c r="L370" s="8" t="s">
        <v>1483</v>
      </c>
      <c r="M370" s="8">
        <v>403.40086514316005</v>
      </c>
      <c r="N370" s="8">
        <v>411.46888244602326</v>
      </c>
    </row>
    <row r="371" spans="1:14" x14ac:dyDescent="0.25">
      <c r="A371" s="6" t="s">
        <v>638</v>
      </c>
      <c r="B371" s="7" t="s">
        <v>20</v>
      </c>
      <c r="C371" s="7" t="s">
        <v>21</v>
      </c>
      <c r="D371" s="7" t="s">
        <v>637</v>
      </c>
      <c r="E371" s="8">
        <v>13</v>
      </c>
      <c r="F371" s="8">
        <v>12</v>
      </c>
      <c r="G371" s="8">
        <v>13</v>
      </c>
      <c r="H371" s="8">
        <v>13</v>
      </c>
      <c r="I371" s="8">
        <v>13</v>
      </c>
      <c r="J371" s="8" t="s">
        <v>1483</v>
      </c>
      <c r="K371" s="8" t="s">
        <v>1483</v>
      </c>
      <c r="L371" s="8" t="s">
        <v>1483</v>
      </c>
      <c r="M371" s="8">
        <v>11.722</v>
      </c>
      <c r="N371" s="8">
        <v>11.722</v>
      </c>
    </row>
    <row r="372" spans="1:14" x14ac:dyDescent="0.25">
      <c r="A372" s="6" t="s">
        <v>636</v>
      </c>
      <c r="B372" s="7" t="s">
        <v>20</v>
      </c>
      <c r="C372" s="7" t="s">
        <v>21</v>
      </c>
      <c r="D372" s="7" t="s">
        <v>635</v>
      </c>
      <c r="E372" s="8">
        <v>436</v>
      </c>
      <c r="F372" s="8">
        <v>441</v>
      </c>
      <c r="G372" s="8">
        <v>480</v>
      </c>
      <c r="H372" s="8">
        <v>495</v>
      </c>
      <c r="I372" s="8">
        <v>475</v>
      </c>
      <c r="J372" s="8" t="s">
        <v>1483</v>
      </c>
      <c r="K372" s="8" t="s">
        <v>1483</v>
      </c>
      <c r="L372" s="8" t="s">
        <v>1483</v>
      </c>
      <c r="M372" s="8">
        <v>506.98346366965495</v>
      </c>
      <c r="N372" s="8">
        <v>512.05329830635151</v>
      </c>
    </row>
    <row r="373" spans="1:14" x14ac:dyDescent="0.25">
      <c r="A373" s="6" t="s">
        <v>136</v>
      </c>
      <c r="B373" s="7"/>
      <c r="C373" s="7"/>
      <c r="D373" s="7"/>
      <c r="E373" s="8"/>
      <c r="F373" s="8"/>
      <c r="G373" s="8"/>
      <c r="H373" s="8"/>
      <c r="I373" s="8"/>
      <c r="J373" s="8"/>
      <c r="K373" s="8"/>
      <c r="L373" s="8"/>
      <c r="M373" s="8"/>
      <c r="N373" s="8"/>
    </row>
    <row r="374" spans="1:14" x14ac:dyDescent="0.25">
      <c r="A374" s="6" t="s">
        <v>11</v>
      </c>
      <c r="B374" s="7" t="s">
        <v>12</v>
      </c>
      <c r="C374" s="7" t="s">
        <v>13</v>
      </c>
      <c r="D374" s="7"/>
      <c r="E374" s="8">
        <v>81581</v>
      </c>
      <c r="F374" s="8">
        <v>82059</v>
      </c>
      <c r="G374" s="8">
        <v>82584</v>
      </c>
      <c r="H374" s="8">
        <v>93775</v>
      </c>
      <c r="I374" s="8">
        <v>94943</v>
      </c>
      <c r="J374" s="8">
        <v>85159</v>
      </c>
      <c r="K374" s="8">
        <v>88821</v>
      </c>
      <c r="L374" s="8">
        <v>94193</v>
      </c>
      <c r="M374" s="8">
        <v>100625.60000000001</v>
      </c>
      <c r="N374" s="8">
        <v>106508.4</v>
      </c>
    </row>
    <row r="375" spans="1:14" x14ac:dyDescent="0.25">
      <c r="A375" s="6" t="s">
        <v>634</v>
      </c>
      <c r="B375" s="7" t="s">
        <v>142</v>
      </c>
      <c r="C375" s="7" t="s">
        <v>143</v>
      </c>
      <c r="D375" s="7"/>
      <c r="E375" s="8">
        <v>6.3</v>
      </c>
      <c r="F375" s="8">
        <v>2.8</v>
      </c>
      <c r="G375" s="8">
        <v>1.2</v>
      </c>
      <c r="H375" s="8">
        <v>12.2</v>
      </c>
      <c r="I375" s="8">
        <v>11</v>
      </c>
      <c r="J375" s="8">
        <v>7.4</v>
      </c>
      <c r="K375" s="8">
        <v>5.9</v>
      </c>
      <c r="L375" s="8">
        <v>5.3</v>
      </c>
      <c r="M375" s="8">
        <v>6.5638179841056035</v>
      </c>
      <c r="N375" s="8">
        <v>5.1746532165235442</v>
      </c>
    </row>
    <row r="376" spans="1:14" x14ac:dyDescent="0.25">
      <c r="A376" s="6" t="s">
        <v>633</v>
      </c>
      <c r="B376" s="7" t="s">
        <v>632</v>
      </c>
      <c r="C376" s="7" t="s">
        <v>631</v>
      </c>
      <c r="D376" s="7"/>
      <c r="E376" s="8">
        <v>81581</v>
      </c>
      <c r="F376" s="8">
        <v>82059</v>
      </c>
      <c r="G376" s="8">
        <v>82584</v>
      </c>
      <c r="H376" s="8">
        <v>93775</v>
      </c>
      <c r="I376" s="8">
        <v>79990</v>
      </c>
      <c r="J376" s="8">
        <v>85159</v>
      </c>
      <c r="K376" s="8">
        <v>88821</v>
      </c>
      <c r="L376" s="8">
        <v>94193</v>
      </c>
      <c r="M376" s="8">
        <v>100747.06445445922</v>
      </c>
      <c r="N376" s="8">
        <v>106309.26367027056</v>
      </c>
    </row>
    <row r="377" spans="1:14" x14ac:dyDescent="0.25">
      <c r="A377" s="6" t="s">
        <v>17</v>
      </c>
      <c r="B377" s="7"/>
      <c r="C377" s="7"/>
      <c r="D377" s="7"/>
      <c r="E377" s="8"/>
      <c r="F377" s="8"/>
      <c r="G377" s="8"/>
      <c r="H377" s="8"/>
      <c r="I377" s="8"/>
      <c r="J377" s="8"/>
      <c r="K377" s="8"/>
      <c r="L377" s="8"/>
      <c r="M377" s="8"/>
      <c r="N377" s="8"/>
    </row>
    <row r="378" spans="1:14" x14ac:dyDescent="0.25">
      <c r="A378" s="6" t="s">
        <v>630</v>
      </c>
      <c r="B378" s="7" t="s">
        <v>145</v>
      </c>
      <c r="C378" s="7" t="s">
        <v>146</v>
      </c>
      <c r="D378" s="7"/>
      <c r="E378" s="8">
        <v>22521</v>
      </c>
      <c r="F378" s="8">
        <v>22933</v>
      </c>
      <c r="G378" s="8">
        <v>23628</v>
      </c>
      <c r="H378" s="8">
        <v>25023</v>
      </c>
      <c r="I378" s="8">
        <v>20025</v>
      </c>
      <c r="J378" s="8">
        <v>21411</v>
      </c>
      <c r="K378" s="8">
        <v>22468</v>
      </c>
      <c r="L378" s="8">
        <v>25457</v>
      </c>
      <c r="M378" s="8">
        <v>27159.797693616329</v>
      </c>
      <c r="N378" s="8">
        <v>28699.17865451111</v>
      </c>
    </row>
    <row r="379" spans="1:14" x14ac:dyDescent="0.25">
      <c r="A379" s="6" t="s">
        <v>147</v>
      </c>
      <c r="B379" s="7" t="s">
        <v>148</v>
      </c>
      <c r="C379" s="7" t="s">
        <v>149</v>
      </c>
      <c r="D379" s="7"/>
      <c r="E379" s="8">
        <v>59060</v>
      </c>
      <c r="F379" s="8">
        <v>59126</v>
      </c>
      <c r="G379" s="8">
        <v>58956</v>
      </c>
      <c r="H379" s="8">
        <v>68752</v>
      </c>
      <c r="I379" s="8">
        <v>59965</v>
      </c>
      <c r="J379" s="8">
        <v>63748</v>
      </c>
      <c r="K379" s="8">
        <v>66353</v>
      </c>
      <c r="L379" s="8">
        <v>68736</v>
      </c>
      <c r="M379" s="8">
        <v>73669.339542855916</v>
      </c>
      <c r="N379" s="8">
        <v>78157.411418680262</v>
      </c>
    </row>
    <row r="380" spans="1:14" x14ac:dyDescent="0.25">
      <c r="A380" s="6" t="s">
        <v>150</v>
      </c>
      <c r="B380" s="7" t="s">
        <v>47</v>
      </c>
      <c r="C380" s="7" t="s">
        <v>48</v>
      </c>
      <c r="D380" s="7"/>
      <c r="E380" s="8">
        <v>72.261923999999993</v>
      </c>
      <c r="F380" s="8">
        <v>71.937264999999996</v>
      </c>
      <c r="G380" s="8">
        <v>71.220817999999994</v>
      </c>
      <c r="H380" s="8">
        <v>73.421487999999997</v>
      </c>
      <c r="I380" s="8">
        <v>71.549244999999999</v>
      </c>
      <c r="J380" s="8">
        <v>74.116652000000002</v>
      </c>
      <c r="K380" s="8">
        <v>74.704179999999994</v>
      </c>
      <c r="L380" s="8">
        <v>72.973575999999994</v>
      </c>
      <c r="M380" s="8">
        <v>73.054907692285369</v>
      </c>
      <c r="N380" s="8">
        <v>73.13775039281461</v>
      </c>
    </row>
    <row r="381" spans="1:14" x14ac:dyDescent="0.25">
      <c r="A381" s="6" t="s">
        <v>629</v>
      </c>
      <c r="B381" s="7" t="s">
        <v>159</v>
      </c>
      <c r="C381" s="7" t="s">
        <v>160</v>
      </c>
      <c r="D381" s="7"/>
      <c r="E381" s="8">
        <v>10775</v>
      </c>
      <c r="F381" s="8">
        <v>11308</v>
      </c>
      <c r="G381" s="8">
        <v>12091</v>
      </c>
      <c r="H381" s="8">
        <v>14589</v>
      </c>
      <c r="I381" s="8">
        <v>13672</v>
      </c>
      <c r="J381" s="8">
        <v>14805</v>
      </c>
      <c r="K381" s="8">
        <v>17034</v>
      </c>
      <c r="L381" s="8">
        <v>14702</v>
      </c>
      <c r="M381" s="8">
        <v>15472.028760094508</v>
      </c>
      <c r="N381" s="8">
        <v>16231.209260874361</v>
      </c>
    </row>
    <row r="382" spans="1:14" x14ac:dyDescent="0.25">
      <c r="A382" s="6" t="s">
        <v>628</v>
      </c>
      <c r="B382" s="7" t="s">
        <v>153</v>
      </c>
      <c r="C382" s="7" t="s">
        <v>154</v>
      </c>
      <c r="D382" s="7"/>
      <c r="E382" s="8">
        <v>22540</v>
      </c>
      <c r="F382" s="8">
        <v>22178</v>
      </c>
      <c r="G382" s="8">
        <v>22067</v>
      </c>
      <c r="H382" s="8">
        <v>24635</v>
      </c>
      <c r="I382" s="8">
        <v>20218</v>
      </c>
      <c r="J382" s="8">
        <v>21483</v>
      </c>
      <c r="K382" s="8">
        <v>22853</v>
      </c>
      <c r="L382" s="8">
        <v>23676</v>
      </c>
      <c r="M382" s="8">
        <v>24789.757964233009</v>
      </c>
      <c r="N382" s="8">
        <v>25897.67205958068</v>
      </c>
    </row>
    <row r="383" spans="1:14" x14ac:dyDescent="0.25">
      <c r="A383" s="6" t="s">
        <v>627</v>
      </c>
      <c r="B383" s="7" t="s">
        <v>156</v>
      </c>
      <c r="C383" s="7" t="s">
        <v>157</v>
      </c>
      <c r="D383" s="7"/>
      <c r="E383" s="8">
        <v>27.628982238511419</v>
      </c>
      <c r="F383" s="8">
        <v>27.026895282662473</v>
      </c>
      <c r="G383" s="8">
        <v>26.720672285188414</v>
      </c>
      <c r="H383" s="8">
        <v>26.270327912556652</v>
      </c>
      <c r="I383" s="8">
        <v>25.27565945743218</v>
      </c>
      <c r="J383" s="8">
        <v>25.22692845148487</v>
      </c>
      <c r="K383" s="8">
        <v>25.729275734342107</v>
      </c>
      <c r="L383" s="8">
        <v>25.135625789602202</v>
      </c>
      <c r="M383" s="8">
        <v>24.551628516148575</v>
      </c>
      <c r="N383" s="8">
        <v>24.194302342018482</v>
      </c>
    </row>
    <row r="384" spans="1:14" x14ac:dyDescent="0.25">
      <c r="A384" s="6" t="s">
        <v>17</v>
      </c>
      <c r="B384" s="7"/>
      <c r="C384" s="7"/>
      <c r="D384" s="7"/>
      <c r="E384" s="8"/>
      <c r="F384" s="8"/>
      <c r="G384" s="8"/>
      <c r="H384" s="8"/>
      <c r="I384" s="8"/>
      <c r="J384" s="8"/>
      <c r="K384" s="8"/>
      <c r="L384" s="8"/>
      <c r="M384" s="8"/>
      <c r="N384" s="8"/>
    </row>
    <row r="385" spans="1:14" x14ac:dyDescent="0.25">
      <c r="A385" s="6" t="s">
        <v>163</v>
      </c>
      <c r="B385" s="7" t="s">
        <v>164</v>
      </c>
      <c r="C385" s="7" t="s">
        <v>165</v>
      </c>
      <c r="D385" s="7"/>
      <c r="E385" s="8">
        <v>25700</v>
      </c>
      <c r="F385" s="8">
        <v>25632</v>
      </c>
      <c r="G385" s="8">
        <v>25675</v>
      </c>
      <c r="H385" s="8">
        <v>31475</v>
      </c>
      <c r="I385" s="8">
        <v>30120</v>
      </c>
      <c r="J385" s="8">
        <v>29582</v>
      </c>
      <c r="K385" s="8">
        <v>26466</v>
      </c>
      <c r="L385" s="8">
        <v>30217</v>
      </c>
      <c r="M385" s="8">
        <v>33174.727272727272</v>
      </c>
      <c r="N385" s="8">
        <v>35782.272727272728</v>
      </c>
    </row>
    <row r="386" spans="1:14" x14ac:dyDescent="0.25">
      <c r="A386" s="6" t="s">
        <v>166</v>
      </c>
      <c r="B386" s="7" t="s">
        <v>626</v>
      </c>
      <c r="C386" s="7" t="s">
        <v>625</v>
      </c>
      <c r="D386" s="7"/>
      <c r="E386" s="8">
        <v>31.557593067013151</v>
      </c>
      <c r="F386" s="8">
        <v>31.24581094090837</v>
      </c>
      <c r="G386" s="8">
        <v>30.027608253414705</v>
      </c>
      <c r="H386" s="8">
        <v>31.48813649693415</v>
      </c>
      <c r="I386" s="8">
        <v>32.597824728091013</v>
      </c>
      <c r="J386" s="8">
        <v>32.245564179945745</v>
      </c>
      <c r="K386" s="8">
        <v>29.797007464450974</v>
      </c>
      <c r="L386" s="8">
        <v>32.229571199558357</v>
      </c>
      <c r="M386" s="8" t="s">
        <v>1483</v>
      </c>
      <c r="N386" s="8" t="s">
        <v>1483</v>
      </c>
    </row>
    <row r="387" spans="1:14" x14ac:dyDescent="0.25">
      <c r="A387" s="6" t="s">
        <v>17</v>
      </c>
      <c r="B387" s="7"/>
      <c r="C387" s="7"/>
      <c r="D387" s="7"/>
      <c r="E387" s="8"/>
      <c r="F387" s="8"/>
      <c r="G387" s="8"/>
      <c r="H387" s="8"/>
      <c r="I387" s="8"/>
      <c r="J387" s="8"/>
      <c r="K387" s="8"/>
      <c r="L387" s="8"/>
      <c r="M387" s="8"/>
      <c r="N387" s="8"/>
    </row>
    <row r="388" spans="1:14" x14ac:dyDescent="0.25">
      <c r="A388" s="6" t="s">
        <v>167</v>
      </c>
      <c r="B388" s="7"/>
      <c r="C388" s="7"/>
      <c r="D388" s="7"/>
      <c r="E388" s="8"/>
      <c r="F388" s="8"/>
      <c r="G388" s="8"/>
      <c r="H388" s="8"/>
      <c r="I388" s="8"/>
      <c r="J388" s="8"/>
      <c r="K388" s="8"/>
      <c r="L388" s="8"/>
      <c r="M388" s="8"/>
      <c r="N388" s="8"/>
    </row>
    <row r="389" spans="1:14" x14ac:dyDescent="0.25">
      <c r="A389" s="6" t="s">
        <v>170</v>
      </c>
      <c r="B389" s="7" t="s">
        <v>624</v>
      </c>
      <c r="C389" s="7" t="s">
        <v>623</v>
      </c>
      <c r="D389" s="7"/>
      <c r="E389" s="8">
        <v>2600</v>
      </c>
      <c r="F389" s="8">
        <v>2500</v>
      </c>
      <c r="G389" s="8">
        <v>2600</v>
      </c>
      <c r="H389" s="8">
        <v>2700</v>
      </c>
      <c r="I389" s="8">
        <v>2400</v>
      </c>
      <c r="J389" s="8">
        <v>2600</v>
      </c>
      <c r="K389" s="8">
        <v>2813</v>
      </c>
      <c r="L389" s="8">
        <v>2882</v>
      </c>
      <c r="M389" s="8">
        <v>3130.0805252346045</v>
      </c>
      <c r="N389" s="8">
        <v>3325.4000500642605</v>
      </c>
    </row>
    <row r="390" spans="1:14" x14ac:dyDescent="0.25">
      <c r="A390" s="6" t="s">
        <v>173</v>
      </c>
      <c r="B390" s="7" t="s">
        <v>174</v>
      </c>
      <c r="C390" s="7" t="s">
        <v>175</v>
      </c>
      <c r="D390" s="7"/>
      <c r="E390" s="8">
        <v>4357</v>
      </c>
      <c r="F390" s="8">
        <v>4500</v>
      </c>
      <c r="G390" s="8">
        <v>4700</v>
      </c>
      <c r="H390" s="8">
        <v>4700</v>
      </c>
      <c r="I390" s="8">
        <v>3900</v>
      </c>
      <c r="J390" s="8">
        <v>4500</v>
      </c>
      <c r="K390" s="8">
        <v>4526</v>
      </c>
      <c r="L390" s="8">
        <v>4621</v>
      </c>
      <c r="M390" s="8">
        <v>4306.9221611323865</v>
      </c>
      <c r="N390" s="8">
        <v>4176.3237310260256</v>
      </c>
    </row>
    <row r="391" spans="1:14" x14ac:dyDescent="0.25">
      <c r="A391" s="6" t="s">
        <v>176</v>
      </c>
      <c r="B391" s="7" t="s">
        <v>177</v>
      </c>
      <c r="C391" s="7" t="s">
        <v>178</v>
      </c>
      <c r="D391" s="7"/>
      <c r="E391" s="8">
        <v>32566</v>
      </c>
      <c r="F391" s="8">
        <v>25649</v>
      </c>
      <c r="G391" s="8">
        <v>32906</v>
      </c>
      <c r="H391" s="8">
        <v>32346</v>
      </c>
      <c r="I391" s="8">
        <v>31701</v>
      </c>
      <c r="J391" s="8">
        <v>34114</v>
      </c>
      <c r="K391" s="8">
        <v>29279</v>
      </c>
      <c r="L391" s="8">
        <v>37720</v>
      </c>
      <c r="M391" s="8">
        <v>37629.666666666664</v>
      </c>
      <c r="N391" s="8">
        <v>40192.611111111117</v>
      </c>
    </row>
    <row r="392" spans="1:14" x14ac:dyDescent="0.25">
      <c r="A392" s="6" t="s">
        <v>17</v>
      </c>
      <c r="B392" s="7"/>
      <c r="C392" s="7"/>
      <c r="D392" s="7"/>
      <c r="E392" s="8"/>
      <c r="F392" s="8"/>
      <c r="G392" s="8"/>
      <c r="H392" s="8"/>
      <c r="I392" s="8"/>
      <c r="J392" s="8"/>
      <c r="K392" s="8"/>
      <c r="L392" s="8"/>
      <c r="M392" s="8"/>
      <c r="N392" s="8"/>
    </row>
    <row r="393" spans="1:14" x14ac:dyDescent="0.25">
      <c r="A393" s="6" t="s">
        <v>622</v>
      </c>
      <c r="B393" s="7" t="s">
        <v>621</v>
      </c>
      <c r="C393" s="7" t="s">
        <v>620</v>
      </c>
      <c r="D393" s="7"/>
      <c r="E393" s="8">
        <v>394</v>
      </c>
      <c r="F393" s="8">
        <v>-39</v>
      </c>
      <c r="G393" s="8">
        <v>90</v>
      </c>
      <c r="H393" s="8">
        <v>130</v>
      </c>
      <c r="I393" s="8">
        <v>-214</v>
      </c>
      <c r="J393" s="8">
        <v>-489</v>
      </c>
      <c r="K393" s="8">
        <v>-577</v>
      </c>
      <c r="L393" s="8">
        <v>-85</v>
      </c>
      <c r="M393" s="8">
        <v>242.84632880167607</v>
      </c>
      <c r="N393" s="8">
        <v>-70.655307365975219</v>
      </c>
    </row>
    <row r="394" spans="1:14" x14ac:dyDescent="0.25">
      <c r="A394" s="6" t="s">
        <v>619</v>
      </c>
      <c r="B394" s="7" t="s">
        <v>618</v>
      </c>
      <c r="C394" s="7" t="s">
        <v>617</v>
      </c>
      <c r="D394" s="7"/>
      <c r="E394" s="8">
        <v>1005</v>
      </c>
      <c r="F394" s="8">
        <v>318</v>
      </c>
      <c r="G394" s="8">
        <v>201</v>
      </c>
      <c r="H394" s="8">
        <v>183</v>
      </c>
      <c r="I394" s="8">
        <v>276</v>
      </c>
      <c r="J394" s="8">
        <v>772</v>
      </c>
      <c r="K394" s="8">
        <v>755</v>
      </c>
      <c r="L394" s="8">
        <v>971</v>
      </c>
      <c r="M394" s="8">
        <v>1102.9881250000001</v>
      </c>
      <c r="N394" s="8">
        <v>1054.36375</v>
      </c>
    </row>
    <row r="395" spans="1:14" x14ac:dyDescent="0.25">
      <c r="A395" s="6" t="s">
        <v>616</v>
      </c>
      <c r="B395" s="7" t="s">
        <v>615</v>
      </c>
      <c r="C395" s="7" t="s">
        <v>614</v>
      </c>
      <c r="D395" s="7"/>
      <c r="E395" s="8">
        <v>611</v>
      </c>
      <c r="F395" s="8">
        <v>357</v>
      </c>
      <c r="G395" s="8">
        <v>111</v>
      </c>
      <c r="H395" s="8">
        <v>53</v>
      </c>
      <c r="I395" s="8">
        <v>490</v>
      </c>
      <c r="J395" s="8">
        <v>1261</v>
      </c>
      <c r="K395" s="8">
        <v>1332</v>
      </c>
      <c r="L395" s="8">
        <v>1056</v>
      </c>
      <c r="M395" s="8">
        <v>910.88681250000002</v>
      </c>
      <c r="N395" s="8">
        <v>849.10504349144219</v>
      </c>
    </row>
    <row r="396" spans="1:14" x14ac:dyDescent="0.25">
      <c r="A396" s="6" t="s">
        <v>185</v>
      </c>
      <c r="B396" s="7" t="s">
        <v>186</v>
      </c>
      <c r="C396" s="7" t="s">
        <v>187</v>
      </c>
      <c r="D396" s="7"/>
      <c r="E396" s="8">
        <v>4383</v>
      </c>
      <c r="F396" s="8">
        <v>4915</v>
      </c>
      <c r="G396" s="8">
        <v>3995</v>
      </c>
      <c r="H396" s="8">
        <v>4269</v>
      </c>
      <c r="I396" s="8">
        <v>4177</v>
      </c>
      <c r="J396" s="8">
        <v>4402</v>
      </c>
      <c r="K396" s="8">
        <v>4737</v>
      </c>
      <c r="L396" s="8">
        <v>5466</v>
      </c>
      <c r="M396" s="8">
        <v>6141.0572455090723</v>
      </c>
      <c r="N396" s="8">
        <v>6591.3829990713193</v>
      </c>
    </row>
    <row r="397" spans="1:14" x14ac:dyDescent="0.25">
      <c r="A397" s="6" t="s">
        <v>613</v>
      </c>
      <c r="B397" s="7" t="s">
        <v>612</v>
      </c>
      <c r="C397" s="7" t="s">
        <v>611</v>
      </c>
      <c r="D397" s="7"/>
      <c r="E397" s="8">
        <v>-1347</v>
      </c>
      <c r="F397" s="8">
        <v>-2546</v>
      </c>
      <c r="G397" s="8">
        <v>-720</v>
      </c>
      <c r="H397" s="8">
        <v>-1066</v>
      </c>
      <c r="I397" s="8">
        <v>-1684</v>
      </c>
      <c r="J397" s="8">
        <v>-1862</v>
      </c>
      <c r="K397" s="8">
        <v>-1936</v>
      </c>
      <c r="L397" s="8">
        <v>-1238</v>
      </c>
      <c r="M397" s="8">
        <v>-1132.9014285714286</v>
      </c>
      <c r="N397" s="8">
        <v>-1032.1815230769232</v>
      </c>
    </row>
    <row r="398" spans="1:14" x14ac:dyDescent="0.25">
      <c r="A398" s="6" t="s">
        <v>182</v>
      </c>
      <c r="B398" s="7" t="s">
        <v>183</v>
      </c>
      <c r="C398" s="7" t="s">
        <v>184</v>
      </c>
      <c r="D398" s="7"/>
      <c r="E398" s="8">
        <v>26698</v>
      </c>
      <c r="F398" s="8">
        <v>28225</v>
      </c>
      <c r="G398" s="8">
        <v>25428</v>
      </c>
      <c r="H398" s="8">
        <v>30464</v>
      </c>
      <c r="I398" s="8">
        <v>31880</v>
      </c>
      <c r="J398" s="8">
        <v>29811</v>
      </c>
      <c r="K398" s="8">
        <v>28979</v>
      </c>
      <c r="L398" s="8">
        <v>31681</v>
      </c>
      <c r="M398" s="8">
        <v>34237.608695652169</v>
      </c>
      <c r="N398" s="8">
        <v>37149.304347826088</v>
      </c>
    </row>
    <row r="399" spans="1:14" x14ac:dyDescent="0.25">
      <c r="A399" s="6" t="s">
        <v>610</v>
      </c>
      <c r="B399" s="7" t="s">
        <v>609</v>
      </c>
      <c r="C399" s="7" t="s">
        <v>608</v>
      </c>
      <c r="D399" s="7"/>
      <c r="E399" s="8">
        <v>32.725757222882777</v>
      </c>
      <c r="F399" s="8">
        <v>34.395983377813529</v>
      </c>
      <c r="G399" s="8">
        <v>30.79046788724208</v>
      </c>
      <c r="H399" s="8">
        <v>32.486270327912557</v>
      </c>
      <c r="I399" s="8">
        <v>34.97062132766596</v>
      </c>
      <c r="J399" s="8">
        <v>35.006282365927262</v>
      </c>
      <c r="K399" s="8">
        <v>32.626293331531961</v>
      </c>
      <c r="L399" s="8">
        <v>33.63413417132908</v>
      </c>
      <c r="M399" s="8">
        <v>34.008886467443553</v>
      </c>
      <c r="N399" s="8">
        <v>34.747406377639507</v>
      </c>
    </row>
    <row r="400" spans="1:14" x14ac:dyDescent="0.25">
      <c r="A400" s="6" t="s">
        <v>17</v>
      </c>
      <c r="B400" s="7"/>
      <c r="C400" s="7"/>
      <c r="D400" s="7"/>
      <c r="E400" s="8"/>
      <c r="F400" s="8"/>
      <c r="G400" s="8"/>
      <c r="H400" s="8"/>
      <c r="I400" s="8"/>
      <c r="J400" s="8"/>
      <c r="K400" s="8"/>
      <c r="L400" s="8"/>
      <c r="M400" s="8"/>
      <c r="N400" s="8"/>
    </row>
    <row r="401" spans="1:14" x14ac:dyDescent="0.25">
      <c r="A401" s="6" t="s">
        <v>191</v>
      </c>
      <c r="B401" s="7" t="s">
        <v>53</v>
      </c>
      <c r="C401" s="7" t="s">
        <v>54</v>
      </c>
      <c r="D401" s="7"/>
      <c r="E401" s="8">
        <v>22315</v>
      </c>
      <c r="F401" s="8">
        <v>23310</v>
      </c>
      <c r="G401" s="8">
        <v>21433</v>
      </c>
      <c r="H401" s="8">
        <v>26195</v>
      </c>
      <c r="I401" s="8">
        <v>27038</v>
      </c>
      <c r="J401" s="8">
        <v>25409</v>
      </c>
      <c r="K401" s="8">
        <v>24242</v>
      </c>
      <c r="L401" s="8">
        <v>26215</v>
      </c>
      <c r="M401" s="8">
        <v>28094.25</v>
      </c>
      <c r="N401" s="8">
        <v>30443.82608695652</v>
      </c>
    </row>
    <row r="402" spans="1:14" x14ac:dyDescent="0.25">
      <c r="A402" s="6" t="s">
        <v>607</v>
      </c>
      <c r="B402" s="7" t="s">
        <v>193</v>
      </c>
      <c r="C402" s="7" t="s">
        <v>194</v>
      </c>
      <c r="D402" s="7"/>
      <c r="E402" s="8">
        <v>27.353182726370111</v>
      </c>
      <c r="F402" s="8">
        <v>28.406390523891346</v>
      </c>
      <c r="G402" s="8">
        <v>25.952969098130392</v>
      </c>
      <c r="H402" s="8">
        <v>27.933884297520663</v>
      </c>
      <c r="I402" s="8">
        <v>29.748718589823731</v>
      </c>
      <c r="J402" s="8">
        <v>29.837128195493136</v>
      </c>
      <c r="K402" s="8">
        <v>27.293095101383681</v>
      </c>
      <c r="L402" s="8">
        <v>27.831155181382904</v>
      </c>
      <c r="M402" s="8">
        <v>27.920235848866803</v>
      </c>
      <c r="N402" s="8">
        <v>28.52435083861484</v>
      </c>
    </row>
    <row r="403" spans="1:14" x14ac:dyDescent="0.25">
      <c r="A403" s="6" t="s">
        <v>17</v>
      </c>
      <c r="B403" s="7"/>
      <c r="C403" s="7"/>
      <c r="D403" s="7"/>
      <c r="E403" s="8"/>
      <c r="F403" s="8"/>
      <c r="G403" s="8"/>
      <c r="H403" s="8"/>
      <c r="I403" s="8"/>
      <c r="J403" s="8"/>
      <c r="K403" s="8"/>
      <c r="L403" s="8"/>
      <c r="M403" s="8"/>
      <c r="N403" s="8"/>
    </row>
    <row r="404" spans="1:14" x14ac:dyDescent="0.25">
      <c r="A404" s="6" t="s">
        <v>198</v>
      </c>
      <c r="B404" s="7" t="s">
        <v>606</v>
      </c>
      <c r="C404" s="7" t="s">
        <v>605</v>
      </c>
      <c r="D404" s="7"/>
      <c r="E404" s="8">
        <v>2728.7</v>
      </c>
      <c r="F404" s="8">
        <v>2684.3</v>
      </c>
      <c r="G404" s="8">
        <v>2670.7</v>
      </c>
      <c r="H404" s="8">
        <v>2674</v>
      </c>
      <c r="I404" s="8">
        <v>2663.9</v>
      </c>
      <c r="J404" s="8">
        <v>2560.4</v>
      </c>
      <c r="K404" s="8">
        <v>2429.4</v>
      </c>
      <c r="L404" s="8">
        <v>2429.4</v>
      </c>
      <c r="M404" s="8">
        <v>2436.6167150944407</v>
      </c>
      <c r="N404" s="8">
        <v>2427.5199162098206</v>
      </c>
    </row>
    <row r="405" spans="1:14" x14ac:dyDescent="0.25">
      <c r="A405" s="6" t="s">
        <v>201</v>
      </c>
      <c r="B405" s="7" t="s">
        <v>9</v>
      </c>
      <c r="C405" s="7" t="s">
        <v>10</v>
      </c>
      <c r="D405" s="7"/>
      <c r="E405" s="8">
        <v>8.18</v>
      </c>
      <c r="F405" s="8">
        <v>8.68</v>
      </c>
      <c r="G405" s="8">
        <v>8.0299999999999994</v>
      </c>
      <c r="H405" s="8">
        <v>9.8000000000000007</v>
      </c>
      <c r="I405" s="8">
        <v>10.15</v>
      </c>
      <c r="J405" s="8">
        <v>9.92</v>
      </c>
      <c r="K405" s="8">
        <v>9.98</v>
      </c>
      <c r="L405" s="8">
        <v>10.79</v>
      </c>
      <c r="M405" s="8">
        <v>11.572692307692305</v>
      </c>
      <c r="N405" s="8">
        <v>12.55076923076923</v>
      </c>
    </row>
    <row r="406" spans="1:14" x14ac:dyDescent="0.25">
      <c r="A406" s="6" t="s">
        <v>604</v>
      </c>
      <c r="B406" s="7" t="s">
        <v>203</v>
      </c>
      <c r="C406" s="7" t="s">
        <v>204</v>
      </c>
      <c r="D406" s="7"/>
      <c r="E406" s="8">
        <v>3.54</v>
      </c>
      <c r="F406" s="8">
        <v>3.75</v>
      </c>
      <c r="G406" s="8">
        <v>3.98</v>
      </c>
      <c r="H406" s="8">
        <v>4.1900000000000004</v>
      </c>
      <c r="I406" s="8">
        <v>4.45</v>
      </c>
      <c r="J406" s="8">
        <v>4.7</v>
      </c>
      <c r="K406" s="8">
        <v>4.91</v>
      </c>
      <c r="L406" s="8">
        <v>5.14</v>
      </c>
      <c r="M406" s="8">
        <v>5.3306666666666676</v>
      </c>
      <c r="N406" s="8">
        <v>5.6306666666666656</v>
      </c>
    </row>
    <row r="407" spans="1:14" x14ac:dyDescent="0.25">
      <c r="A407" s="6" t="s">
        <v>17</v>
      </c>
      <c r="B407" s="7"/>
      <c r="C407" s="7"/>
      <c r="D407" s="7"/>
      <c r="E407" s="8"/>
      <c r="F407" s="8"/>
      <c r="G407" s="8"/>
      <c r="H407" s="8"/>
      <c r="I407" s="8"/>
      <c r="J407" s="8"/>
      <c r="K407" s="8"/>
      <c r="L407" s="8"/>
      <c r="M407" s="8"/>
      <c r="N407" s="8"/>
    </row>
    <row r="408" spans="1:14" x14ac:dyDescent="0.25">
      <c r="A408" s="6" t="s">
        <v>205</v>
      </c>
      <c r="B408" s="7"/>
      <c r="C408" s="7"/>
      <c r="D408" s="7"/>
      <c r="E408" s="8"/>
      <c r="F408" s="8"/>
      <c r="G408" s="8"/>
      <c r="H408" s="8"/>
      <c r="I408" s="8"/>
      <c r="J408" s="8"/>
      <c r="K408" s="8"/>
      <c r="L408" s="8"/>
      <c r="M408" s="8"/>
      <c r="N408" s="8"/>
    </row>
    <row r="409" spans="1:14" x14ac:dyDescent="0.25">
      <c r="A409" s="6" t="s">
        <v>603</v>
      </c>
      <c r="B409" s="7" t="s">
        <v>207</v>
      </c>
      <c r="C409" s="7" t="s">
        <v>208</v>
      </c>
      <c r="D409" s="7"/>
      <c r="E409" s="8">
        <v>27091</v>
      </c>
      <c r="F409" s="8">
        <v>27556</v>
      </c>
      <c r="G409" s="8">
        <v>28427</v>
      </c>
      <c r="H409" s="8">
        <v>29855</v>
      </c>
      <c r="I409" s="8">
        <v>24596</v>
      </c>
      <c r="J409" s="8">
        <v>26553</v>
      </c>
      <c r="K409" s="8">
        <v>27471</v>
      </c>
      <c r="L409" s="8">
        <v>30256</v>
      </c>
      <c r="M409" s="8">
        <v>31714.198072510448</v>
      </c>
      <c r="N409" s="8">
        <v>32469.562798096096</v>
      </c>
    </row>
    <row r="410" spans="1:14" x14ac:dyDescent="0.25">
      <c r="A410" s="6" t="s">
        <v>155</v>
      </c>
      <c r="B410" s="7" t="s">
        <v>209</v>
      </c>
      <c r="C410" s="7" t="s">
        <v>210</v>
      </c>
      <c r="D410" s="7"/>
      <c r="E410" s="8">
        <v>33.207487037422929</v>
      </c>
      <c r="F410" s="8">
        <v>33.580716313871726</v>
      </c>
      <c r="G410" s="8">
        <v>34.421921921921921</v>
      </c>
      <c r="H410" s="8">
        <v>31.836843508397759</v>
      </c>
      <c r="I410" s="8">
        <v>30.748843605450681</v>
      </c>
      <c r="J410" s="8">
        <v>31.180497657323357</v>
      </c>
      <c r="K410" s="8">
        <v>30.928496639308271</v>
      </c>
      <c r="L410" s="8">
        <v>32.12128289787988</v>
      </c>
      <c r="M410" s="8" t="s">
        <v>1483</v>
      </c>
      <c r="N410" s="8" t="s">
        <v>1483</v>
      </c>
    </row>
    <row r="411" spans="1:14" x14ac:dyDescent="0.25">
      <c r="A411" s="6" t="s">
        <v>211</v>
      </c>
      <c r="B411" s="7" t="s">
        <v>212</v>
      </c>
      <c r="C411" s="7" t="s">
        <v>213</v>
      </c>
      <c r="D411" s="7"/>
      <c r="E411" s="8">
        <v>54490</v>
      </c>
      <c r="F411" s="8">
        <v>54503</v>
      </c>
      <c r="G411" s="8">
        <v>54157</v>
      </c>
      <c r="H411" s="8">
        <v>63920</v>
      </c>
      <c r="I411" s="8">
        <v>55394</v>
      </c>
      <c r="J411" s="8">
        <v>58606</v>
      </c>
      <c r="K411" s="8">
        <v>61350</v>
      </c>
      <c r="L411" s="8">
        <v>63937</v>
      </c>
      <c r="M411" s="8">
        <v>68861.524864999999</v>
      </c>
      <c r="N411" s="8">
        <v>72934.448709999997</v>
      </c>
    </row>
    <row r="412" spans="1:14" x14ac:dyDescent="0.25">
      <c r="A412" s="6" t="s">
        <v>214</v>
      </c>
      <c r="B412" s="7"/>
      <c r="C412" s="7"/>
      <c r="D412" s="7"/>
      <c r="E412" s="8"/>
      <c r="F412" s="8"/>
      <c r="G412" s="8"/>
      <c r="H412" s="8"/>
      <c r="I412" s="8"/>
      <c r="J412" s="8"/>
      <c r="K412" s="8"/>
      <c r="L412" s="8"/>
      <c r="M412" s="8"/>
      <c r="N412" s="8"/>
    </row>
    <row r="413" spans="1:14" x14ac:dyDescent="0.25">
      <c r="A413" s="6" t="s">
        <v>225</v>
      </c>
      <c r="B413" s="7" t="s">
        <v>226</v>
      </c>
      <c r="C413" s="7" t="s">
        <v>227</v>
      </c>
      <c r="D413" s="7"/>
      <c r="E413" s="8">
        <v>10775</v>
      </c>
      <c r="F413" s="8">
        <v>11355</v>
      </c>
      <c r="G413" s="8">
        <v>12159</v>
      </c>
      <c r="H413" s="8">
        <v>14714</v>
      </c>
      <c r="I413" s="8">
        <v>14135</v>
      </c>
      <c r="J413" s="8">
        <v>15085</v>
      </c>
      <c r="K413" s="8">
        <v>17232</v>
      </c>
      <c r="L413" s="8">
        <v>14665</v>
      </c>
      <c r="M413" s="8">
        <v>15388.822972817601</v>
      </c>
      <c r="N413" s="8">
        <v>16056.447020431609</v>
      </c>
    </row>
    <row r="414" spans="1:14" x14ac:dyDescent="0.25">
      <c r="A414" s="6" t="s">
        <v>602</v>
      </c>
      <c r="B414" s="7" t="s">
        <v>601</v>
      </c>
      <c r="C414" s="7" t="s">
        <v>600</v>
      </c>
      <c r="D414" s="7"/>
      <c r="E414" s="8">
        <v>13.207732192544833</v>
      </c>
      <c r="F414" s="8">
        <v>13.83760465031258</v>
      </c>
      <c r="G414" s="8">
        <v>14.723190932868352</v>
      </c>
      <c r="H414" s="8">
        <v>15.690749133564383</v>
      </c>
      <c r="I414" s="8">
        <v>17.670958869858733</v>
      </c>
      <c r="J414" s="8">
        <v>17.713923366878429</v>
      </c>
      <c r="K414" s="8">
        <v>19.4008173742696</v>
      </c>
      <c r="L414" s="8">
        <v>15.56909749132101</v>
      </c>
      <c r="M414" s="8">
        <v>15.358869336159989</v>
      </c>
      <c r="N414" s="8">
        <v>15.218248825952132</v>
      </c>
    </row>
    <row r="415" spans="1:14" x14ac:dyDescent="0.25">
      <c r="A415" s="6" t="s">
        <v>219</v>
      </c>
      <c r="B415" s="7" t="s">
        <v>599</v>
      </c>
      <c r="C415" s="7" t="s">
        <v>598</v>
      </c>
      <c r="D415" s="7"/>
      <c r="E415" s="8">
        <v>22540</v>
      </c>
      <c r="F415" s="8">
        <v>22178</v>
      </c>
      <c r="G415" s="8">
        <v>22084</v>
      </c>
      <c r="H415" s="8">
        <v>24659</v>
      </c>
      <c r="I415" s="8">
        <v>20246</v>
      </c>
      <c r="J415" s="8">
        <v>21512</v>
      </c>
      <c r="K415" s="8">
        <v>22869</v>
      </c>
      <c r="L415" s="8">
        <v>23676</v>
      </c>
      <c r="M415" s="8">
        <v>24699.275721666669</v>
      </c>
      <c r="N415" s="8">
        <v>25585.554929375001</v>
      </c>
    </row>
    <row r="416" spans="1:14" x14ac:dyDescent="0.25">
      <c r="A416" s="6" t="s">
        <v>237</v>
      </c>
      <c r="B416" s="7" t="s">
        <v>238</v>
      </c>
      <c r="C416" s="7" t="s">
        <v>239</v>
      </c>
      <c r="D416" s="7"/>
      <c r="E416" s="8">
        <v>2702</v>
      </c>
      <c r="F416" s="8">
        <v>2209</v>
      </c>
      <c r="G416" s="8">
        <v>1783</v>
      </c>
      <c r="H416" s="8">
        <v>1898</v>
      </c>
      <c r="I416" s="8">
        <v>2989</v>
      </c>
      <c r="J416" s="8">
        <v>1736</v>
      </c>
      <c r="K416" s="8">
        <v>2621</v>
      </c>
      <c r="L416" s="8">
        <v>5777</v>
      </c>
      <c r="M416" s="8">
        <v>5140.9430554392811</v>
      </c>
      <c r="N416" s="8">
        <v>5668.313682070393</v>
      </c>
    </row>
    <row r="417" spans="1:14" x14ac:dyDescent="0.25">
      <c r="A417" s="6" t="s">
        <v>597</v>
      </c>
      <c r="B417" s="7" t="s">
        <v>596</v>
      </c>
      <c r="C417" s="7" t="s">
        <v>595</v>
      </c>
      <c r="D417" s="7"/>
      <c r="E417" s="8">
        <v>15.011945108061559</v>
      </c>
      <c r="F417" s="8">
        <v>12.748153277931671</v>
      </c>
      <c r="G417" s="8">
        <v>10.808025701642723</v>
      </c>
      <c r="H417" s="8">
        <v>8.3333333333333339</v>
      </c>
      <c r="I417" s="8">
        <v>15.439847099540266</v>
      </c>
      <c r="J417" s="8">
        <v>11.525693798964282</v>
      </c>
      <c r="K417" s="8">
        <v>15.70683765805717</v>
      </c>
      <c r="L417" s="8">
        <v>17.731193026610601</v>
      </c>
      <c r="M417" s="8">
        <v>18</v>
      </c>
      <c r="N417" s="8">
        <v>18.25</v>
      </c>
    </row>
    <row r="418" spans="1:14" x14ac:dyDescent="0.25">
      <c r="A418" s="6" t="s">
        <v>240</v>
      </c>
      <c r="B418" s="7" t="s">
        <v>241</v>
      </c>
      <c r="C418" s="7" t="s">
        <v>242</v>
      </c>
      <c r="D418" s="7"/>
      <c r="E418" s="8">
        <v>15297</v>
      </c>
      <c r="F418" s="8">
        <v>15119</v>
      </c>
      <c r="G418" s="8">
        <v>14714</v>
      </c>
      <c r="H418" s="8">
        <v>20878</v>
      </c>
      <c r="I418" s="8">
        <v>17941</v>
      </c>
      <c r="J418" s="8">
        <v>35153</v>
      </c>
      <c r="K418" s="8">
        <v>14066</v>
      </c>
      <c r="L418" s="8">
        <v>26804</v>
      </c>
      <c r="M418" s="8">
        <v>24415.555555555558</v>
      </c>
      <c r="N418" s="8">
        <v>26676.888888888891</v>
      </c>
    </row>
    <row r="419" spans="1:14" x14ac:dyDescent="0.25">
      <c r="A419" s="6" t="s">
        <v>594</v>
      </c>
      <c r="B419" s="7" t="s">
        <v>244</v>
      </c>
      <c r="C419" s="7" t="s">
        <v>245</v>
      </c>
      <c r="D419" s="7"/>
      <c r="E419" s="8">
        <v>18.750689498780353</v>
      </c>
      <c r="F419" s="8">
        <v>18.424548190935791</v>
      </c>
      <c r="G419" s="8">
        <v>17.817010558946041</v>
      </c>
      <c r="H419" s="8">
        <v>22.263929618768326</v>
      </c>
      <c r="I419" s="8">
        <v>22.429053631703962</v>
      </c>
      <c r="J419" s="8">
        <v>41.279254101151963</v>
      </c>
      <c r="K419" s="8">
        <v>15.836345008500242</v>
      </c>
      <c r="L419" s="8">
        <v>28.456467041075239</v>
      </c>
      <c r="M419" s="8">
        <v>23.574099492542437</v>
      </c>
      <c r="N419" s="8">
        <v>23.46162513006626</v>
      </c>
    </row>
    <row r="420" spans="1:14" x14ac:dyDescent="0.25">
      <c r="A420" s="6" t="s">
        <v>246</v>
      </c>
      <c r="B420" s="7" t="s">
        <v>247</v>
      </c>
      <c r="C420" s="7" t="s">
        <v>248</v>
      </c>
      <c r="D420" s="7"/>
      <c r="E420" s="8">
        <v>5.61</v>
      </c>
      <c r="F420" s="8">
        <v>5.63</v>
      </c>
      <c r="G420" s="8">
        <v>5.51</v>
      </c>
      <c r="H420" s="8">
        <v>7.81</v>
      </c>
      <c r="I420" s="8">
        <v>6.73</v>
      </c>
      <c r="J420" s="8">
        <v>5.2</v>
      </c>
      <c r="K420" s="8">
        <v>5.79</v>
      </c>
      <c r="L420" s="8">
        <v>11.03</v>
      </c>
      <c r="M420" s="8">
        <v>10.64642857142857</v>
      </c>
      <c r="N420" s="8">
        <v>11.440833333333332</v>
      </c>
    </row>
    <row r="421" spans="1:14" x14ac:dyDescent="0.25">
      <c r="A421" s="6" t="s">
        <v>17</v>
      </c>
      <c r="B421" s="7"/>
      <c r="C421" s="7"/>
      <c r="D421" s="7"/>
      <c r="E421" s="8"/>
      <c r="F421" s="8"/>
      <c r="G421" s="8"/>
      <c r="H421" s="8"/>
      <c r="I421" s="8"/>
      <c r="J421" s="8"/>
      <c r="K421" s="8"/>
      <c r="L421" s="8"/>
      <c r="M421" s="8"/>
      <c r="N421" s="8"/>
    </row>
    <row r="422" spans="1:14" x14ac:dyDescent="0.25">
      <c r="A422" s="6" t="s">
        <v>593</v>
      </c>
      <c r="B422" s="7"/>
      <c r="C422" s="7"/>
      <c r="D422" s="7"/>
      <c r="E422" s="8"/>
      <c r="F422" s="8"/>
      <c r="G422" s="8"/>
      <c r="H422" s="8"/>
      <c r="I422" s="8"/>
      <c r="J422" s="8"/>
      <c r="K422" s="8"/>
      <c r="L422" s="8"/>
      <c r="M422" s="8"/>
      <c r="N422" s="8"/>
    </row>
    <row r="423" spans="1:14" x14ac:dyDescent="0.25">
      <c r="A423" s="6" t="s">
        <v>592</v>
      </c>
      <c r="B423" s="7" t="s">
        <v>591</v>
      </c>
      <c r="C423" s="7" t="s">
        <v>590</v>
      </c>
      <c r="D423" s="7"/>
      <c r="E423" s="8">
        <v>1126</v>
      </c>
      <c r="F423" s="8">
        <v>890</v>
      </c>
      <c r="G423" s="8">
        <v>181</v>
      </c>
      <c r="H423" s="8">
        <v>900</v>
      </c>
      <c r="I423" s="8">
        <v>783</v>
      </c>
      <c r="J423" s="8">
        <v>313</v>
      </c>
      <c r="K423" s="8">
        <v>211</v>
      </c>
      <c r="L423" s="8">
        <v>81</v>
      </c>
      <c r="M423" s="8">
        <v>85.05</v>
      </c>
      <c r="N423" s="8">
        <v>89.302499999999995</v>
      </c>
    </row>
    <row r="424" spans="1:14" x14ac:dyDescent="0.25">
      <c r="A424" s="6" t="s">
        <v>17</v>
      </c>
      <c r="B424" s="7"/>
      <c r="C424" s="7"/>
      <c r="D424" s="7"/>
      <c r="E424" s="8"/>
      <c r="F424" s="8"/>
      <c r="G424" s="8"/>
      <c r="H424" s="8"/>
      <c r="I424" s="8"/>
      <c r="J424" s="8"/>
      <c r="K424" s="8"/>
      <c r="L424" s="8"/>
      <c r="M424" s="8"/>
      <c r="N424" s="8"/>
    </row>
    <row r="425" spans="1:14" x14ac:dyDescent="0.25">
      <c r="A425" s="6" t="s">
        <v>253</v>
      </c>
      <c r="B425" s="7"/>
      <c r="C425" s="7"/>
      <c r="D425" s="7"/>
      <c r="E425" s="8"/>
      <c r="F425" s="8"/>
      <c r="G425" s="8"/>
      <c r="H425" s="8"/>
      <c r="I425" s="8"/>
      <c r="J425" s="8"/>
      <c r="K425" s="8"/>
      <c r="L425" s="8"/>
      <c r="M425" s="8"/>
      <c r="N425" s="8"/>
    </row>
    <row r="426" spans="1:14" x14ac:dyDescent="0.25">
      <c r="A426" s="6" t="s">
        <v>254</v>
      </c>
      <c r="B426" s="7"/>
      <c r="C426" s="7"/>
      <c r="D426" s="7"/>
      <c r="E426" s="8"/>
      <c r="F426" s="8"/>
      <c r="G426" s="8"/>
      <c r="H426" s="8"/>
      <c r="I426" s="8"/>
      <c r="J426" s="8"/>
      <c r="K426" s="8"/>
      <c r="L426" s="8"/>
      <c r="M426" s="8"/>
      <c r="N426" s="8"/>
    </row>
    <row r="427" spans="1:14" x14ac:dyDescent="0.25">
      <c r="A427" s="6" t="s">
        <v>255</v>
      </c>
      <c r="B427" s="7" t="s">
        <v>256</v>
      </c>
      <c r="C427" s="7" t="s">
        <v>257</v>
      </c>
      <c r="D427" s="7"/>
      <c r="E427" s="8">
        <v>46033</v>
      </c>
      <c r="F427" s="8">
        <v>45274</v>
      </c>
      <c r="G427" s="8">
        <v>51237</v>
      </c>
      <c r="H427" s="8">
        <v>60979</v>
      </c>
      <c r="I427" s="8">
        <v>55294</v>
      </c>
      <c r="J427" s="8">
        <v>53495</v>
      </c>
      <c r="K427" s="8">
        <v>55893</v>
      </c>
      <c r="L427" s="8">
        <v>55624</v>
      </c>
      <c r="M427" s="8">
        <v>74923.756507305428</v>
      </c>
      <c r="N427" s="8">
        <v>86007.234884163088</v>
      </c>
    </row>
    <row r="428" spans="1:14" x14ac:dyDescent="0.25">
      <c r="A428" s="6" t="s">
        <v>589</v>
      </c>
      <c r="B428" s="7" t="s">
        <v>259</v>
      </c>
      <c r="C428" s="7" t="s">
        <v>260</v>
      </c>
      <c r="D428" s="7"/>
      <c r="E428" s="8">
        <v>19687</v>
      </c>
      <c r="F428" s="8">
        <v>19287</v>
      </c>
      <c r="G428" s="8">
        <v>25185</v>
      </c>
      <c r="H428" s="8">
        <v>31608</v>
      </c>
      <c r="I428" s="8">
        <v>22281</v>
      </c>
      <c r="J428" s="8">
        <v>22927</v>
      </c>
      <c r="K428" s="8">
        <v>24522</v>
      </c>
      <c r="L428" s="8">
        <v>20102</v>
      </c>
      <c r="M428" s="8">
        <v>34852.636364253463</v>
      </c>
      <c r="N428" s="8">
        <v>43382.066640568177</v>
      </c>
    </row>
    <row r="429" spans="1:14" x14ac:dyDescent="0.25">
      <c r="A429" s="6" t="s">
        <v>588</v>
      </c>
      <c r="B429" s="7" t="s">
        <v>265</v>
      </c>
      <c r="C429" s="7" t="s">
        <v>266</v>
      </c>
      <c r="D429" s="7"/>
      <c r="E429" s="8">
        <v>1580</v>
      </c>
      <c r="F429" s="8">
        <v>1982</v>
      </c>
      <c r="G429" s="8">
        <v>11200</v>
      </c>
      <c r="H429" s="8">
        <v>17121</v>
      </c>
      <c r="I429" s="8">
        <v>9392</v>
      </c>
      <c r="J429" s="8">
        <v>1068</v>
      </c>
      <c r="K429" s="8">
        <v>417</v>
      </c>
      <c r="L429" s="8">
        <v>393</v>
      </c>
      <c r="M429" s="8">
        <v>437.53055555555557</v>
      </c>
      <c r="N429" s="8">
        <v>448.47680555555559</v>
      </c>
    </row>
    <row r="430" spans="1:14" x14ac:dyDescent="0.25">
      <c r="A430" s="6" t="s">
        <v>537</v>
      </c>
      <c r="B430" s="7" t="s">
        <v>268</v>
      </c>
      <c r="C430" s="7" t="s">
        <v>269</v>
      </c>
      <c r="D430" s="7"/>
      <c r="E430" s="8">
        <v>14098</v>
      </c>
      <c r="F430" s="8">
        <v>14481</v>
      </c>
      <c r="G430" s="8">
        <v>13576</v>
      </c>
      <c r="H430" s="8">
        <v>15283</v>
      </c>
      <c r="I430" s="8">
        <v>14039</v>
      </c>
      <c r="J430" s="8">
        <v>14873</v>
      </c>
      <c r="K430" s="8">
        <v>14842</v>
      </c>
      <c r="L430" s="8">
        <v>17178</v>
      </c>
      <c r="M430" s="8">
        <v>17199.880977276542</v>
      </c>
      <c r="N430" s="8">
        <v>18264.757141425231</v>
      </c>
    </row>
    <row r="431" spans="1:14" x14ac:dyDescent="0.25">
      <c r="A431" s="6" t="s">
        <v>270</v>
      </c>
      <c r="B431" s="7" t="s">
        <v>271</v>
      </c>
      <c r="C431" s="7" t="s">
        <v>272</v>
      </c>
      <c r="D431" s="7"/>
      <c r="E431" s="8">
        <v>8599</v>
      </c>
      <c r="F431" s="8">
        <v>9020</v>
      </c>
      <c r="G431" s="8">
        <v>9344</v>
      </c>
      <c r="H431" s="8">
        <v>10387</v>
      </c>
      <c r="I431" s="8">
        <v>10268</v>
      </c>
      <c r="J431" s="8">
        <v>11181</v>
      </c>
      <c r="K431" s="8">
        <v>12444</v>
      </c>
      <c r="L431" s="8">
        <v>14191</v>
      </c>
      <c r="M431" s="8">
        <v>13912.611691067941</v>
      </c>
      <c r="N431" s="8">
        <v>14791.44393407415</v>
      </c>
    </row>
    <row r="432" spans="1:14" x14ac:dyDescent="0.25">
      <c r="A432" s="6" t="s">
        <v>273</v>
      </c>
      <c r="B432" s="7" t="s">
        <v>587</v>
      </c>
      <c r="C432" s="7" t="s">
        <v>586</v>
      </c>
      <c r="D432" s="7"/>
      <c r="E432" s="8">
        <v>2699</v>
      </c>
      <c r="F432" s="8">
        <v>2392</v>
      </c>
      <c r="G432" s="8">
        <v>3132</v>
      </c>
      <c r="H432" s="8">
        <v>3701</v>
      </c>
      <c r="I432" s="8">
        <v>2876</v>
      </c>
      <c r="J432" s="8">
        <v>4514</v>
      </c>
      <c r="K432" s="8">
        <v>4085</v>
      </c>
      <c r="L432" s="8">
        <v>4153</v>
      </c>
      <c r="M432" s="8">
        <v>4308.822380446064</v>
      </c>
      <c r="N432" s="8">
        <v>4393.2230204001789</v>
      </c>
    </row>
    <row r="433" spans="1:14" x14ac:dyDescent="0.25">
      <c r="A433" s="6" t="s">
        <v>276</v>
      </c>
      <c r="B433" s="7" t="s">
        <v>277</v>
      </c>
      <c r="C433" s="7" t="s">
        <v>278</v>
      </c>
      <c r="D433" s="7"/>
      <c r="E433" s="8">
        <v>106921</v>
      </c>
      <c r="F433" s="8">
        <v>112454</v>
      </c>
      <c r="G433" s="8">
        <v>123657</v>
      </c>
      <c r="H433" s="8">
        <v>121039</v>
      </c>
      <c r="I433" s="8">
        <v>132084</v>
      </c>
      <c r="J433" s="8">
        <v>114063</v>
      </c>
      <c r="K433" s="8">
        <v>124211</v>
      </c>
      <c r="L433" s="8">
        <v>143586</v>
      </c>
      <c r="M433" s="8">
        <v>140132.00469337581</v>
      </c>
      <c r="N433" s="8">
        <v>140508.65868853359</v>
      </c>
    </row>
    <row r="434" spans="1:14" x14ac:dyDescent="0.25">
      <c r="A434" s="6" t="s">
        <v>279</v>
      </c>
      <c r="B434" s="7" t="s">
        <v>280</v>
      </c>
      <c r="C434" s="7" t="s">
        <v>281</v>
      </c>
      <c r="D434" s="7"/>
      <c r="E434" s="8">
        <v>17035</v>
      </c>
      <c r="F434" s="8">
        <v>17658</v>
      </c>
      <c r="G434" s="8">
        <v>18766</v>
      </c>
      <c r="H434" s="8">
        <v>18962</v>
      </c>
      <c r="I434" s="8">
        <v>17982</v>
      </c>
      <c r="J434" s="8">
        <v>19898</v>
      </c>
      <c r="K434" s="8">
        <v>20518</v>
      </c>
      <c r="L434" s="8">
        <v>23169</v>
      </c>
      <c r="M434" s="8">
        <v>24531.811685878583</v>
      </c>
      <c r="N434" s="8">
        <v>25691.524878960012</v>
      </c>
    </row>
    <row r="435" spans="1:14" x14ac:dyDescent="0.25">
      <c r="A435" s="6" t="s">
        <v>282</v>
      </c>
      <c r="B435" s="7" t="s">
        <v>283</v>
      </c>
      <c r="C435" s="7" t="s">
        <v>284</v>
      </c>
      <c r="D435" s="7"/>
      <c r="E435" s="8">
        <v>41851</v>
      </c>
      <c r="F435" s="8">
        <v>43332</v>
      </c>
      <c r="G435" s="8">
        <v>46804</v>
      </c>
      <c r="H435" s="8">
        <v>47679</v>
      </c>
      <c r="I435" s="8">
        <v>43534</v>
      </c>
      <c r="J435" s="8">
        <v>47776</v>
      </c>
      <c r="K435" s="8">
        <v>48768</v>
      </c>
      <c r="L435" s="8">
        <v>54364</v>
      </c>
      <c r="M435" s="8">
        <v>59549.073316494178</v>
      </c>
      <c r="N435" s="8">
        <v>65061.100941420009</v>
      </c>
    </row>
    <row r="436" spans="1:14" x14ac:dyDescent="0.25">
      <c r="A436" s="6" t="s">
        <v>285</v>
      </c>
      <c r="B436" s="7" t="s">
        <v>286</v>
      </c>
      <c r="C436" s="7" t="s">
        <v>287</v>
      </c>
      <c r="D436" s="7"/>
      <c r="E436" s="8">
        <v>24816</v>
      </c>
      <c r="F436" s="8">
        <v>25674</v>
      </c>
      <c r="G436" s="8">
        <v>28038</v>
      </c>
      <c r="H436" s="8">
        <v>28717</v>
      </c>
      <c r="I436" s="8">
        <v>25552</v>
      </c>
      <c r="J436" s="8">
        <v>27878</v>
      </c>
      <c r="K436" s="8">
        <v>28250</v>
      </c>
      <c r="L436" s="8">
        <v>31195</v>
      </c>
      <c r="M436" s="8" t="s">
        <v>1483</v>
      </c>
      <c r="N436" s="8">
        <v>36872.426394089605</v>
      </c>
    </row>
    <row r="437" spans="1:14" x14ac:dyDescent="0.25">
      <c r="A437" s="6" t="s">
        <v>585</v>
      </c>
      <c r="B437" s="7" t="s">
        <v>298</v>
      </c>
      <c r="C437" s="7" t="s">
        <v>299</v>
      </c>
      <c r="D437" s="7"/>
      <c r="E437" s="8">
        <v>47611</v>
      </c>
      <c r="F437" s="8">
        <v>47643</v>
      </c>
      <c r="G437" s="8">
        <v>53402</v>
      </c>
      <c r="H437" s="8">
        <v>46392</v>
      </c>
      <c r="I437" s="8">
        <v>38489</v>
      </c>
      <c r="J437" s="8">
        <v>34175</v>
      </c>
      <c r="K437" s="8">
        <v>37618</v>
      </c>
      <c r="L437" s="8">
        <v>50403</v>
      </c>
      <c r="M437" s="8">
        <v>39169.861115129112</v>
      </c>
      <c r="N437" s="8">
        <v>37056.011773571649</v>
      </c>
    </row>
    <row r="438" spans="1:14" x14ac:dyDescent="0.25">
      <c r="A438" s="6" t="s">
        <v>584</v>
      </c>
      <c r="B438" s="7" t="s">
        <v>295</v>
      </c>
      <c r="C438" s="7" t="s">
        <v>296</v>
      </c>
      <c r="D438" s="7"/>
      <c r="E438" s="8">
        <v>30453</v>
      </c>
      <c r="F438" s="8">
        <v>33639</v>
      </c>
      <c r="G438" s="8">
        <v>36393</v>
      </c>
      <c r="H438" s="8">
        <v>35246</v>
      </c>
      <c r="I438" s="8">
        <v>36047</v>
      </c>
      <c r="J438" s="8">
        <v>36558</v>
      </c>
      <c r="K438" s="8">
        <v>44200</v>
      </c>
      <c r="L438" s="8">
        <v>48772</v>
      </c>
      <c r="M438" s="8">
        <v>46781.141386483316</v>
      </c>
      <c r="N438" s="8">
        <v>47074.134495669969</v>
      </c>
    </row>
    <row r="439" spans="1:14" x14ac:dyDescent="0.25">
      <c r="A439" s="6" t="s">
        <v>583</v>
      </c>
      <c r="B439" s="7" t="s">
        <v>289</v>
      </c>
      <c r="C439" s="7" t="s">
        <v>290</v>
      </c>
      <c r="D439" s="7"/>
      <c r="E439" s="8">
        <v>7640</v>
      </c>
      <c r="F439" s="8">
        <v>7819</v>
      </c>
      <c r="G439" s="8">
        <v>8534</v>
      </c>
      <c r="H439" s="8">
        <v>10223</v>
      </c>
      <c r="I439" s="8">
        <v>8947</v>
      </c>
      <c r="J439" s="8">
        <v>9279</v>
      </c>
      <c r="K439" s="8">
        <v>10461</v>
      </c>
      <c r="L439" s="8">
        <v>6874</v>
      </c>
      <c r="M439" s="8">
        <v>8583</v>
      </c>
      <c r="N439" s="8">
        <v>8583</v>
      </c>
    </row>
    <row r="440" spans="1:14" x14ac:dyDescent="0.25">
      <c r="A440" s="6" t="s">
        <v>582</v>
      </c>
      <c r="B440" s="7" t="s">
        <v>300</v>
      </c>
      <c r="C440" s="7" t="s">
        <v>301</v>
      </c>
      <c r="D440" s="7"/>
      <c r="E440" s="8">
        <v>4182</v>
      </c>
      <c r="F440" s="8">
        <v>5695</v>
      </c>
      <c r="G440" s="8">
        <v>6562</v>
      </c>
      <c r="H440" s="8">
        <v>10216</v>
      </c>
      <c r="I440" s="8">
        <v>9212</v>
      </c>
      <c r="J440" s="8">
        <v>14153</v>
      </c>
      <c r="K440" s="8">
        <v>11414</v>
      </c>
      <c r="L440" s="8">
        <v>14368</v>
      </c>
      <c r="M440" s="8">
        <v>12139.428571428572</v>
      </c>
      <c r="N440" s="8">
        <v>12139.428571428572</v>
      </c>
    </row>
    <row r="441" spans="1:14" x14ac:dyDescent="0.25">
      <c r="A441" s="6" t="s">
        <v>333</v>
      </c>
      <c r="B441" s="7" t="s">
        <v>581</v>
      </c>
      <c r="C441" s="7" t="s">
        <v>580</v>
      </c>
      <c r="D441" s="7"/>
      <c r="E441" s="8">
        <v>34288</v>
      </c>
      <c r="F441" s="8">
        <v>35083</v>
      </c>
      <c r="G441" s="8">
        <v>35388</v>
      </c>
      <c r="H441" s="8">
        <v>31784</v>
      </c>
      <c r="I441" s="8">
        <v>26786</v>
      </c>
      <c r="J441" s="8">
        <v>25521</v>
      </c>
      <c r="K441" s="8">
        <v>26442</v>
      </c>
      <c r="L441" s="8">
        <v>22702</v>
      </c>
      <c r="M441" s="8">
        <v>26686.948653811218</v>
      </c>
      <c r="N441" s="8">
        <v>26880.480156047426</v>
      </c>
    </row>
    <row r="442" spans="1:14" x14ac:dyDescent="0.25">
      <c r="A442" s="6" t="s">
        <v>302</v>
      </c>
      <c r="B442" s="7" t="s">
        <v>303</v>
      </c>
      <c r="C442" s="7" t="s">
        <v>304</v>
      </c>
      <c r="D442" s="7"/>
      <c r="E442" s="8">
        <v>152954</v>
      </c>
      <c r="F442" s="8">
        <v>157728</v>
      </c>
      <c r="G442" s="8">
        <v>174894</v>
      </c>
      <c r="H442" s="8">
        <v>182018</v>
      </c>
      <c r="I442" s="8">
        <v>187378</v>
      </c>
      <c r="J442" s="8">
        <v>167558</v>
      </c>
      <c r="K442" s="8">
        <v>180104</v>
      </c>
      <c r="L442" s="8">
        <v>199210</v>
      </c>
      <c r="M442" s="8">
        <v>209131.80903964004</v>
      </c>
      <c r="N442" s="8">
        <v>219516.93588803432</v>
      </c>
    </row>
    <row r="443" spans="1:14" x14ac:dyDescent="0.25">
      <c r="A443" s="6" t="s">
        <v>17</v>
      </c>
      <c r="B443" s="7"/>
      <c r="C443" s="7"/>
      <c r="D443" s="7"/>
      <c r="E443" s="8"/>
      <c r="F443" s="8"/>
      <c r="G443" s="8"/>
      <c r="H443" s="8"/>
      <c r="I443" s="8"/>
      <c r="J443" s="8"/>
      <c r="K443" s="8"/>
      <c r="L443" s="8"/>
      <c r="M443" s="8"/>
      <c r="N443" s="8"/>
    </row>
    <row r="444" spans="1:14" x14ac:dyDescent="0.25">
      <c r="A444" s="6" t="s">
        <v>305</v>
      </c>
      <c r="B444" s="7"/>
      <c r="C444" s="7"/>
      <c r="D444" s="7"/>
      <c r="E444" s="8"/>
      <c r="F444" s="8"/>
      <c r="G444" s="8"/>
      <c r="H444" s="8"/>
      <c r="I444" s="8"/>
      <c r="J444" s="8"/>
      <c r="K444" s="8"/>
      <c r="L444" s="8"/>
      <c r="M444" s="8"/>
      <c r="N444" s="8"/>
    </row>
    <row r="445" spans="1:14" x14ac:dyDescent="0.25">
      <c r="A445" s="6" t="s">
        <v>306</v>
      </c>
      <c r="B445" s="7" t="s">
        <v>307</v>
      </c>
      <c r="C445" s="7" t="s">
        <v>308</v>
      </c>
      <c r="D445" s="7"/>
      <c r="E445" s="8">
        <v>31230</v>
      </c>
      <c r="F445" s="8">
        <v>35964</v>
      </c>
      <c r="G445" s="8">
        <v>42493</v>
      </c>
      <c r="H445" s="8">
        <v>45226</v>
      </c>
      <c r="I445" s="8">
        <v>55802</v>
      </c>
      <c r="J445" s="8">
        <v>46282</v>
      </c>
      <c r="K445" s="8">
        <v>50321</v>
      </c>
      <c r="L445" s="8">
        <v>54126</v>
      </c>
      <c r="M445" s="8">
        <v>53541.495513886519</v>
      </c>
      <c r="N445" s="8">
        <v>55022.712009617484</v>
      </c>
    </row>
    <row r="446" spans="1:14" x14ac:dyDescent="0.25">
      <c r="A446" s="6" t="s">
        <v>579</v>
      </c>
      <c r="B446" s="7" t="s">
        <v>578</v>
      </c>
      <c r="C446" s="7" t="s">
        <v>577</v>
      </c>
      <c r="D446" s="7"/>
      <c r="E446" s="8">
        <v>2796</v>
      </c>
      <c r="F446" s="8">
        <v>1202</v>
      </c>
      <c r="G446" s="8">
        <v>2631</v>
      </c>
      <c r="H446" s="8">
        <v>3766</v>
      </c>
      <c r="I446" s="8">
        <v>12756</v>
      </c>
      <c r="J446" s="8">
        <v>3451</v>
      </c>
      <c r="K446" s="8">
        <v>5983</v>
      </c>
      <c r="L446" s="8">
        <v>8495</v>
      </c>
      <c r="M446" s="8">
        <v>6935.75</v>
      </c>
      <c r="N446" s="8">
        <v>6922</v>
      </c>
    </row>
    <row r="447" spans="1:14" x14ac:dyDescent="0.25">
      <c r="A447" s="6" t="s">
        <v>309</v>
      </c>
      <c r="B447" s="7" t="s">
        <v>310</v>
      </c>
      <c r="C447" s="7" t="s">
        <v>311</v>
      </c>
      <c r="D447" s="7"/>
      <c r="E447" s="8">
        <v>7537</v>
      </c>
      <c r="F447" s="8">
        <v>8544</v>
      </c>
      <c r="G447" s="8">
        <v>9505</v>
      </c>
      <c r="H447" s="8">
        <v>11055</v>
      </c>
      <c r="I447" s="8">
        <v>9889</v>
      </c>
      <c r="J447" s="8">
        <v>9632</v>
      </c>
      <c r="K447" s="8">
        <v>10311</v>
      </c>
      <c r="L447" s="8">
        <v>11991</v>
      </c>
      <c r="M447" s="8">
        <v>11304.832792533889</v>
      </c>
      <c r="N447" s="8">
        <v>11958.299109506463</v>
      </c>
    </row>
    <row r="448" spans="1:14" x14ac:dyDescent="0.25">
      <c r="A448" s="6" t="s">
        <v>318</v>
      </c>
      <c r="B448" s="7" t="s">
        <v>319</v>
      </c>
      <c r="C448" s="7" t="s">
        <v>320</v>
      </c>
      <c r="D448" s="7"/>
      <c r="E448" s="8">
        <v>3098</v>
      </c>
      <c r="F448" s="8">
        <v>3354</v>
      </c>
      <c r="G448" s="8">
        <v>3484</v>
      </c>
      <c r="H448" s="8">
        <v>3586</v>
      </c>
      <c r="I448" s="8">
        <v>3049</v>
      </c>
      <c r="J448" s="8">
        <v>3993</v>
      </c>
      <c r="K448" s="8">
        <v>4126</v>
      </c>
      <c r="L448" s="8">
        <v>4534</v>
      </c>
      <c r="M448" s="8">
        <v>4290.3718335359799</v>
      </c>
      <c r="N448" s="8">
        <v>4405.1347021298116</v>
      </c>
    </row>
    <row r="449" spans="1:14" x14ac:dyDescent="0.25">
      <c r="A449" s="6" t="s">
        <v>576</v>
      </c>
      <c r="B449" s="7" t="s">
        <v>575</v>
      </c>
      <c r="C449" s="7" t="s">
        <v>574</v>
      </c>
      <c r="D449" s="7"/>
      <c r="E449" s="8">
        <v>9380</v>
      </c>
      <c r="F449" s="8">
        <v>10883</v>
      </c>
      <c r="G449" s="8">
        <v>11513</v>
      </c>
      <c r="H449" s="8">
        <v>13612</v>
      </c>
      <c r="I449" s="8">
        <v>10719</v>
      </c>
      <c r="J449" s="8">
        <v>10212</v>
      </c>
      <c r="K449" s="8">
        <v>8549</v>
      </c>
      <c r="L449" s="8">
        <v>8594</v>
      </c>
      <c r="M449" s="8">
        <v>9338.9772321851906</v>
      </c>
      <c r="N449" s="8">
        <v>9538.387099330841</v>
      </c>
    </row>
    <row r="450" spans="1:14" x14ac:dyDescent="0.25">
      <c r="A450" s="6" t="s">
        <v>312</v>
      </c>
      <c r="B450" s="7" t="s">
        <v>313</v>
      </c>
      <c r="C450" s="7" t="s">
        <v>314</v>
      </c>
      <c r="D450" s="7"/>
      <c r="E450" s="8">
        <v>818</v>
      </c>
      <c r="F450" s="8">
        <v>2266</v>
      </c>
      <c r="G450" s="8">
        <v>1392</v>
      </c>
      <c r="H450" s="8">
        <v>1112</v>
      </c>
      <c r="I450" s="8">
        <v>2220</v>
      </c>
      <c r="J450" s="8">
        <v>2993</v>
      </c>
      <c r="K450" s="8">
        <v>3772</v>
      </c>
      <c r="L450" s="8">
        <v>1388</v>
      </c>
      <c r="M450" s="8">
        <v>3587.9404367052302</v>
      </c>
      <c r="N450" s="8">
        <v>3691.6295739053367</v>
      </c>
    </row>
    <row r="451" spans="1:14" x14ac:dyDescent="0.25">
      <c r="A451" s="6" t="s">
        <v>573</v>
      </c>
      <c r="B451" s="7" t="s">
        <v>327</v>
      </c>
      <c r="C451" s="7" t="s">
        <v>328</v>
      </c>
      <c r="D451" s="7"/>
      <c r="E451" s="8">
        <v>20897</v>
      </c>
      <c r="F451" s="8">
        <v>25949</v>
      </c>
      <c r="G451" s="8">
        <v>30357</v>
      </c>
      <c r="H451" s="8">
        <v>30405</v>
      </c>
      <c r="I451" s="8">
        <v>33157</v>
      </c>
      <c r="J451" s="8">
        <v>33199</v>
      </c>
      <c r="K451" s="8">
        <v>34027</v>
      </c>
      <c r="L451" s="8">
        <v>33640</v>
      </c>
      <c r="M451" s="8">
        <v>35208.784983264472</v>
      </c>
      <c r="N451" s="8">
        <v>35901.089156300914</v>
      </c>
    </row>
    <row r="452" spans="1:14" x14ac:dyDescent="0.25">
      <c r="A452" s="6" t="s">
        <v>329</v>
      </c>
      <c r="B452" s="7" t="s">
        <v>572</v>
      </c>
      <c r="C452" s="7" t="s">
        <v>571</v>
      </c>
      <c r="D452" s="7"/>
      <c r="E452" s="8">
        <v>61972</v>
      </c>
      <c r="F452" s="8">
        <v>62293</v>
      </c>
      <c r="G452" s="8">
        <v>69123</v>
      </c>
      <c r="H452" s="8">
        <v>62769</v>
      </c>
      <c r="I452" s="8">
        <v>54772</v>
      </c>
      <c r="J452" s="8">
        <v>52502</v>
      </c>
      <c r="K452" s="8">
        <v>58293</v>
      </c>
      <c r="L452" s="8">
        <v>63540</v>
      </c>
      <c r="M452" s="8">
        <v>62507.5</v>
      </c>
      <c r="N452" s="8">
        <v>60495</v>
      </c>
    </row>
    <row r="453" spans="1:14" x14ac:dyDescent="0.25">
      <c r="A453" s="6" t="s">
        <v>570</v>
      </c>
      <c r="B453" s="7" t="s">
        <v>331</v>
      </c>
      <c r="C453" s="7" t="s">
        <v>332</v>
      </c>
      <c r="D453" s="7"/>
      <c r="E453" s="8">
        <v>27684</v>
      </c>
      <c r="F453" s="8">
        <v>26494</v>
      </c>
      <c r="G453" s="8">
        <v>32635</v>
      </c>
      <c r="H453" s="8">
        <v>29985</v>
      </c>
      <c r="I453" s="8">
        <v>26886</v>
      </c>
      <c r="J453" s="8">
        <v>25881</v>
      </c>
      <c r="K453" s="8">
        <v>30651</v>
      </c>
      <c r="L453" s="8">
        <v>39438</v>
      </c>
      <c r="M453" s="8">
        <v>36112.800000000003</v>
      </c>
      <c r="N453" s="8">
        <v>34536.699999999997</v>
      </c>
    </row>
    <row r="454" spans="1:14" x14ac:dyDescent="0.25">
      <c r="A454" s="6" t="s">
        <v>569</v>
      </c>
      <c r="B454" s="7" t="s">
        <v>568</v>
      </c>
      <c r="C454" s="7" t="s">
        <v>567</v>
      </c>
      <c r="D454" s="7"/>
      <c r="E454" s="8">
        <v>9951</v>
      </c>
      <c r="F454" s="8">
        <v>10663</v>
      </c>
      <c r="G454" s="8">
        <v>10771</v>
      </c>
      <c r="H454" s="8">
        <v>8898</v>
      </c>
      <c r="I454" s="8">
        <v>6542</v>
      </c>
      <c r="J454" s="8">
        <v>7149</v>
      </c>
      <c r="K454" s="8">
        <v>7255</v>
      </c>
      <c r="L454" s="8">
        <v>6957</v>
      </c>
      <c r="M454" s="8">
        <v>7119.5714285714284</v>
      </c>
      <c r="N454" s="8">
        <v>7119.5714285714284</v>
      </c>
    </row>
    <row r="455" spans="1:14" x14ac:dyDescent="0.25">
      <c r="A455" s="6" t="s">
        <v>566</v>
      </c>
      <c r="B455" s="7" t="s">
        <v>565</v>
      </c>
      <c r="C455" s="7" t="s">
        <v>564</v>
      </c>
      <c r="D455" s="7"/>
      <c r="E455" s="8">
        <v>7506</v>
      </c>
      <c r="F455" s="8">
        <v>5958</v>
      </c>
      <c r="G455" s="8">
        <v>7214</v>
      </c>
      <c r="H455" s="8">
        <v>7487</v>
      </c>
      <c r="I455" s="8">
        <v>3991</v>
      </c>
      <c r="J455" s="8">
        <v>3193</v>
      </c>
      <c r="K455" s="8">
        <v>2448</v>
      </c>
      <c r="L455" s="8">
        <v>6791</v>
      </c>
      <c r="M455" s="8">
        <v>4079.8571428571431</v>
      </c>
      <c r="N455" s="8">
        <v>4079.8571428571431</v>
      </c>
    </row>
    <row r="456" spans="1:14" x14ac:dyDescent="0.25">
      <c r="A456" s="6" t="s">
        <v>563</v>
      </c>
      <c r="B456" s="7" t="s">
        <v>337</v>
      </c>
      <c r="C456" s="7" t="s">
        <v>338</v>
      </c>
      <c r="D456" s="7"/>
      <c r="E456" s="8">
        <v>8242</v>
      </c>
      <c r="F456" s="8">
        <v>7444</v>
      </c>
      <c r="G456" s="8">
        <v>6559</v>
      </c>
      <c r="H456" s="8">
        <v>5713</v>
      </c>
      <c r="I456" s="8">
        <v>4306</v>
      </c>
      <c r="J456" s="8">
        <v>2881</v>
      </c>
      <c r="K456" s="8">
        <v>390</v>
      </c>
      <c r="L456" s="8">
        <v>486</v>
      </c>
      <c r="M456" s="8">
        <v>423.95902073509404</v>
      </c>
      <c r="N456" s="8">
        <v>435.96370592487528</v>
      </c>
    </row>
    <row r="457" spans="1:14" x14ac:dyDescent="0.25">
      <c r="A457" s="6" t="s">
        <v>333</v>
      </c>
      <c r="B457" s="7" t="s">
        <v>339</v>
      </c>
      <c r="C457" s="7" t="s">
        <v>340</v>
      </c>
      <c r="D457" s="7"/>
      <c r="E457" s="8">
        <v>16831</v>
      </c>
      <c r="F457" s="8">
        <v>11734</v>
      </c>
      <c r="G457" s="8">
        <v>11944</v>
      </c>
      <c r="H457" s="8">
        <v>10686</v>
      </c>
      <c r="I457" s="8">
        <v>10146</v>
      </c>
      <c r="J457" s="8">
        <v>13398</v>
      </c>
      <c r="K457" s="8">
        <v>17549</v>
      </c>
      <c r="L457" s="8">
        <v>9868</v>
      </c>
      <c r="M457" s="8">
        <v>15643.25</v>
      </c>
      <c r="N457" s="8">
        <v>15643.25</v>
      </c>
    </row>
    <row r="458" spans="1:14" x14ac:dyDescent="0.25">
      <c r="A458" s="6" t="s">
        <v>341</v>
      </c>
      <c r="B458" s="7" t="s">
        <v>342</v>
      </c>
      <c r="C458" s="7" t="s">
        <v>343</v>
      </c>
      <c r="D458" s="7"/>
      <c r="E458" s="8">
        <v>93202</v>
      </c>
      <c r="F458" s="8">
        <v>98257</v>
      </c>
      <c r="G458" s="8">
        <v>111616</v>
      </c>
      <c r="H458" s="8">
        <v>107995</v>
      </c>
      <c r="I458" s="8">
        <v>110574</v>
      </c>
      <c r="J458" s="8">
        <v>98784</v>
      </c>
      <c r="K458" s="8">
        <v>108614</v>
      </c>
      <c r="L458" s="8">
        <v>117666</v>
      </c>
      <c r="M458" s="8">
        <v>116367.45194562932</v>
      </c>
      <c r="N458" s="8">
        <v>116642.90842823435</v>
      </c>
    </row>
    <row r="459" spans="1:14" x14ac:dyDescent="0.25">
      <c r="A459" s="6" t="s">
        <v>562</v>
      </c>
      <c r="B459" s="7" t="s">
        <v>345</v>
      </c>
      <c r="C459" s="7" t="s">
        <v>346</v>
      </c>
      <c r="D459" s="7"/>
      <c r="E459" s="8">
        <v>59752</v>
      </c>
      <c r="F459" s="8">
        <v>59471</v>
      </c>
      <c r="G459" s="8">
        <v>63278</v>
      </c>
      <c r="H459" s="8">
        <v>74023</v>
      </c>
      <c r="I459" s="8">
        <v>76804</v>
      </c>
      <c r="J459" s="8">
        <v>68774</v>
      </c>
      <c r="K459" s="8">
        <v>71490</v>
      </c>
      <c r="L459" s="8">
        <v>81544</v>
      </c>
      <c r="M459" s="8">
        <v>94869.5</v>
      </c>
      <c r="N459" s="8">
        <v>106882.75</v>
      </c>
    </row>
    <row r="460" spans="1:14" x14ac:dyDescent="0.25">
      <c r="A460" s="6" t="s">
        <v>561</v>
      </c>
      <c r="B460" s="7" t="s">
        <v>560</v>
      </c>
      <c r="C460" s="7" t="s">
        <v>559</v>
      </c>
      <c r="D460" s="7"/>
      <c r="E460" s="8">
        <v>3120</v>
      </c>
      <c r="F460" s="8">
        <v>3120</v>
      </c>
      <c r="G460" s="8">
        <v>3120</v>
      </c>
      <c r="H460" s="8">
        <v>3120</v>
      </c>
      <c r="I460" s="8">
        <v>3120</v>
      </c>
      <c r="J460" s="8">
        <v>3120</v>
      </c>
      <c r="K460" s="8">
        <v>3120</v>
      </c>
      <c r="L460" s="8">
        <v>3120</v>
      </c>
      <c r="M460" s="8">
        <v>3120</v>
      </c>
      <c r="N460" s="8">
        <v>3120</v>
      </c>
    </row>
    <row r="461" spans="1:14" x14ac:dyDescent="0.25">
      <c r="A461" s="6" t="s">
        <v>558</v>
      </c>
      <c r="B461" s="7" t="s">
        <v>357</v>
      </c>
      <c r="C461" s="7" t="s">
        <v>358</v>
      </c>
      <c r="D461" s="7"/>
      <c r="E461" s="8">
        <v>-15222</v>
      </c>
      <c r="F461" s="8">
        <v>-15891</v>
      </c>
      <c r="G461" s="8">
        <v>-15242</v>
      </c>
      <c r="H461" s="8">
        <v>-13058</v>
      </c>
      <c r="I461" s="8">
        <v>-12967</v>
      </c>
      <c r="J461" s="8">
        <v>-12527</v>
      </c>
      <c r="K461" s="8">
        <v>-11741</v>
      </c>
      <c r="L461" s="8">
        <v>-14930</v>
      </c>
      <c r="M461" s="8">
        <v>-11966.676890397985</v>
      </c>
      <c r="N461" s="8">
        <v>-11534.476763562676</v>
      </c>
    </row>
    <row r="462" spans="1:14" x14ac:dyDescent="0.25">
      <c r="A462" s="6" t="s">
        <v>353</v>
      </c>
      <c r="B462" s="7" t="s">
        <v>354</v>
      </c>
      <c r="C462" s="7" t="s">
        <v>355</v>
      </c>
      <c r="D462" s="7"/>
      <c r="E462" s="8">
        <v>106216</v>
      </c>
      <c r="F462" s="8">
        <v>110659</v>
      </c>
      <c r="G462" s="8">
        <v>113890</v>
      </c>
      <c r="H462" s="8">
        <v>123060</v>
      </c>
      <c r="I462" s="8">
        <v>128345</v>
      </c>
      <c r="J462" s="8">
        <v>153843</v>
      </c>
      <c r="K462" s="8">
        <v>155791</v>
      </c>
      <c r="L462" s="8">
        <v>168978</v>
      </c>
      <c r="M462" s="8">
        <v>181848.72173826082</v>
      </c>
      <c r="N462" s="8">
        <v>191508.02269584901</v>
      </c>
    </row>
    <row r="463" spans="1:14" x14ac:dyDescent="0.25">
      <c r="A463" s="6" t="s">
        <v>557</v>
      </c>
      <c r="B463" s="7" t="s">
        <v>556</v>
      </c>
      <c r="C463" s="7" t="s">
        <v>555</v>
      </c>
      <c r="D463" s="7"/>
      <c r="E463" s="8">
        <v>34362</v>
      </c>
      <c r="F463" s="8">
        <v>38417</v>
      </c>
      <c r="G463" s="8">
        <v>38490</v>
      </c>
      <c r="H463" s="8">
        <v>39099</v>
      </c>
      <c r="I463" s="8">
        <v>41694</v>
      </c>
      <c r="J463" s="8">
        <v>75662</v>
      </c>
      <c r="K463" s="8">
        <v>75680</v>
      </c>
      <c r="L463" s="8">
        <v>75624</v>
      </c>
      <c r="M463" s="8">
        <v>76319.084783923623</v>
      </c>
      <c r="N463" s="8">
        <v>77343.17907153444</v>
      </c>
    </row>
    <row r="464" spans="1:14" x14ac:dyDescent="0.25">
      <c r="A464" s="6" t="s">
        <v>359</v>
      </c>
      <c r="B464" s="7" t="s">
        <v>303</v>
      </c>
      <c r="C464" s="7" t="s">
        <v>304</v>
      </c>
      <c r="D464" s="7"/>
      <c r="E464" s="8">
        <v>152954</v>
      </c>
      <c r="F464" s="8">
        <v>157728</v>
      </c>
      <c r="G464" s="8">
        <v>174894</v>
      </c>
      <c r="H464" s="8">
        <v>182018</v>
      </c>
      <c r="I464" s="8">
        <v>187378</v>
      </c>
      <c r="J464" s="8">
        <v>167558</v>
      </c>
      <c r="K464" s="8">
        <v>180104</v>
      </c>
      <c r="L464" s="8">
        <v>199210</v>
      </c>
      <c r="M464" s="8">
        <v>209131.80903964004</v>
      </c>
      <c r="N464" s="8">
        <v>219516.93588803432</v>
      </c>
    </row>
    <row r="465" spans="1:14" x14ac:dyDescent="0.25">
      <c r="A465" s="6" t="s">
        <v>17</v>
      </c>
      <c r="B465" s="7"/>
      <c r="C465" s="7"/>
      <c r="D465" s="7"/>
      <c r="E465" s="8"/>
      <c r="F465" s="8"/>
      <c r="G465" s="8"/>
      <c r="H465" s="8"/>
      <c r="I465" s="8"/>
      <c r="J465" s="8"/>
      <c r="K465" s="8"/>
      <c r="L465" s="8"/>
      <c r="M465" s="8"/>
      <c r="N465" s="8"/>
    </row>
    <row r="466" spans="1:14" x14ac:dyDescent="0.25">
      <c r="A466" s="6" t="s">
        <v>360</v>
      </c>
      <c r="B466" s="7"/>
      <c r="C466" s="7"/>
      <c r="D466" s="7"/>
      <c r="E466" s="8"/>
      <c r="F466" s="8"/>
      <c r="G466" s="8"/>
      <c r="H466" s="8"/>
      <c r="I466" s="8"/>
      <c r="J466" s="8"/>
      <c r="K466" s="8"/>
      <c r="L466" s="8"/>
      <c r="M466" s="8"/>
      <c r="N466" s="8"/>
    </row>
    <row r="467" spans="1:14" x14ac:dyDescent="0.25">
      <c r="A467" s="6" t="s">
        <v>554</v>
      </c>
      <c r="B467" s="7" t="s">
        <v>553</v>
      </c>
      <c r="C467" s="7" t="s">
        <v>552</v>
      </c>
      <c r="D467" s="7"/>
      <c r="E467" s="8">
        <v>10793</v>
      </c>
      <c r="F467" s="8">
        <v>9394</v>
      </c>
      <c r="G467" s="8">
        <v>11181</v>
      </c>
      <c r="H467" s="8">
        <v>3143</v>
      </c>
      <c r="I467" s="8">
        <v>18461</v>
      </c>
      <c r="J467" s="8">
        <v>7505</v>
      </c>
      <c r="K467" s="8">
        <v>13312</v>
      </c>
      <c r="L467" s="8">
        <v>29231</v>
      </c>
      <c r="M467" s="8">
        <v>8685.5003834197341</v>
      </c>
      <c r="N467" s="8">
        <v>-754.29061403374828</v>
      </c>
    </row>
    <row r="468" spans="1:14" x14ac:dyDescent="0.25">
      <c r="A468" s="6" t="s">
        <v>376</v>
      </c>
      <c r="B468" s="7"/>
      <c r="C468" s="7"/>
      <c r="D468" s="7"/>
      <c r="E468" s="8"/>
      <c r="F468" s="8"/>
      <c r="G468" s="8"/>
      <c r="H468" s="8"/>
      <c r="I468" s="8"/>
      <c r="J468" s="8"/>
      <c r="K468" s="8"/>
      <c r="L468" s="8"/>
      <c r="M468" s="8"/>
      <c r="N468" s="8"/>
    </row>
    <row r="469" spans="1:14" x14ac:dyDescent="0.25">
      <c r="A469" s="6" t="s">
        <v>551</v>
      </c>
      <c r="B469" s="7" t="s">
        <v>378</v>
      </c>
      <c r="C469" s="7" t="s">
        <v>379</v>
      </c>
      <c r="D469" s="7"/>
      <c r="E469" s="8">
        <v>9.860857289279533</v>
      </c>
      <c r="F469" s="8">
        <v>9.7327814292427615</v>
      </c>
      <c r="G469" s="8">
        <v>8.8472800957242761</v>
      </c>
      <c r="H469" s="8">
        <v>11.699242390281078</v>
      </c>
      <c r="I469" s="8">
        <v>9.7136947882489242</v>
      </c>
      <c r="J469" s="8">
        <v>19.808078076047515</v>
      </c>
      <c r="K469" s="8">
        <v>8.0917672912196323</v>
      </c>
      <c r="L469" s="8">
        <v>14.132881992228075</v>
      </c>
      <c r="M469" s="8">
        <v>13.714830452025454</v>
      </c>
      <c r="N469" s="8">
        <v>14.088896955397379</v>
      </c>
    </row>
    <row r="470" spans="1:14" x14ac:dyDescent="0.25">
      <c r="A470" s="6" t="s">
        <v>550</v>
      </c>
      <c r="B470" s="7" t="s">
        <v>381</v>
      </c>
      <c r="C470" s="7" t="s">
        <v>382</v>
      </c>
      <c r="D470" s="7"/>
      <c r="E470" s="8">
        <v>25.513710054039628</v>
      </c>
      <c r="F470" s="8">
        <v>25.362555882673643</v>
      </c>
      <c r="G470" s="8">
        <v>23.974126062126778</v>
      </c>
      <c r="H470" s="8">
        <v>30.412014479137078</v>
      </c>
      <c r="I470" s="8">
        <v>23.790170194991614</v>
      </c>
      <c r="J470" s="8">
        <v>48.294385140611908</v>
      </c>
      <c r="K470" s="8">
        <v>20.056464951805168</v>
      </c>
      <c r="L470" s="8">
        <v>35.030124024726533</v>
      </c>
      <c r="M470" s="8">
        <v>33.110096038848113</v>
      </c>
      <c r="N470" s="8">
        <v>33.615050227223541</v>
      </c>
    </row>
    <row r="471" spans="1:14" x14ac:dyDescent="0.25">
      <c r="A471" s="6" t="s">
        <v>70</v>
      </c>
      <c r="B471" s="7" t="s">
        <v>549</v>
      </c>
      <c r="C471" s="7" t="s">
        <v>548</v>
      </c>
      <c r="D471" s="7"/>
      <c r="E471" s="8">
        <v>62.902783736409212</v>
      </c>
      <c r="F471" s="8">
        <v>64.235294117647058</v>
      </c>
      <c r="G471" s="8">
        <v>60.988762956504885</v>
      </c>
      <c r="H471" s="8">
        <v>59.322975206611574</v>
      </c>
      <c r="I471" s="8">
        <v>63.885435679459931</v>
      </c>
      <c r="J471" s="8">
        <v>63.572517291184731</v>
      </c>
      <c r="K471" s="8">
        <v>60.824444669616419</v>
      </c>
      <c r="L471" s="8">
        <v>66.382767296932897</v>
      </c>
      <c r="M471" s="8">
        <v>62.903497759245226</v>
      </c>
      <c r="N471" s="8">
        <v>63.407679044687455</v>
      </c>
    </row>
    <row r="472" spans="1:14" x14ac:dyDescent="0.25">
      <c r="A472" s="6" t="s">
        <v>547</v>
      </c>
      <c r="B472" s="7" t="s">
        <v>371</v>
      </c>
      <c r="C472" s="7" t="s">
        <v>372</v>
      </c>
      <c r="D472" s="7"/>
      <c r="E472" s="8">
        <v>1.4739993595901377</v>
      </c>
      <c r="F472" s="8">
        <v>1.2588699810922033</v>
      </c>
      <c r="G472" s="8">
        <v>1.205775068834867</v>
      </c>
      <c r="H472" s="8">
        <v>1.3483173395834254</v>
      </c>
      <c r="I472" s="8">
        <v>0.99089638364216337</v>
      </c>
      <c r="J472" s="8">
        <v>1.1558489261483946</v>
      </c>
      <c r="K472" s="8">
        <v>1.1107291190556627</v>
      </c>
      <c r="L472" s="8">
        <v>1.027676163027011</v>
      </c>
      <c r="M472" s="8">
        <v>1.2158509615924709</v>
      </c>
      <c r="N472" s="8">
        <v>1.3718754382059415</v>
      </c>
    </row>
    <row r="473" spans="1:14" x14ac:dyDescent="0.25">
      <c r="A473" s="6" t="s">
        <v>546</v>
      </c>
      <c r="B473" s="7" t="s">
        <v>374</v>
      </c>
      <c r="C473" s="7" t="s">
        <v>375</v>
      </c>
      <c r="D473" s="7"/>
      <c r="E473" s="8">
        <v>1.0818123599103426</v>
      </c>
      <c r="F473" s="8">
        <v>0.93893893893893898</v>
      </c>
      <c r="G473" s="8">
        <v>0.91217376979737841</v>
      </c>
      <c r="H473" s="8">
        <v>1.0368151063547517</v>
      </c>
      <c r="I473" s="8">
        <v>0.65087272857603673</v>
      </c>
      <c r="J473" s="8">
        <v>0.81673220690549242</v>
      </c>
      <c r="K473" s="8">
        <v>0.78225790425468489</v>
      </c>
      <c r="L473" s="8">
        <v>0.68876325610612277</v>
      </c>
      <c r="M473" s="8">
        <v>0.89864849906912703</v>
      </c>
      <c r="N473" s="8">
        <v>1.0158356502076566</v>
      </c>
    </row>
    <row r="474" spans="1:14" x14ac:dyDescent="0.25">
      <c r="A474" s="6" t="s">
        <v>545</v>
      </c>
      <c r="B474" s="7" t="s">
        <v>544</v>
      </c>
      <c r="C474" s="7" t="s">
        <v>543</v>
      </c>
      <c r="D474" s="7"/>
      <c r="E474" s="8">
        <v>14803</v>
      </c>
      <c r="F474" s="8">
        <v>9310</v>
      </c>
      <c r="G474" s="8">
        <v>8744</v>
      </c>
      <c r="H474" s="8">
        <v>15753</v>
      </c>
      <c r="I474" s="8">
        <v>-508</v>
      </c>
      <c r="J474" s="8">
        <v>7213</v>
      </c>
      <c r="K474" s="8">
        <v>5572</v>
      </c>
      <c r="L474" s="8">
        <v>1498</v>
      </c>
      <c r="M474" s="8">
        <v>7878.0958447157291</v>
      </c>
      <c r="N474" s="8">
        <v>13690.96507080258</v>
      </c>
    </row>
    <row r="475" spans="1:14" x14ac:dyDescent="0.25">
      <c r="A475" s="6" t="s">
        <v>477</v>
      </c>
      <c r="B475" s="7" t="s">
        <v>478</v>
      </c>
      <c r="C475" s="7" t="s">
        <v>479</v>
      </c>
      <c r="D475" s="7"/>
      <c r="E475" s="8">
        <v>22.443549320067731</v>
      </c>
      <c r="F475" s="8">
        <v>22.59101305333661</v>
      </c>
      <c r="G475" s="8">
        <v>24.037117399654775</v>
      </c>
      <c r="H475" s="8">
        <v>28.156708058114123</v>
      </c>
      <c r="I475" s="8">
        <v>29.386320844414801</v>
      </c>
      <c r="J475" s="8">
        <v>28.571571008500765</v>
      </c>
      <c r="K475" s="8">
        <v>29.701834957676237</v>
      </c>
      <c r="L475" s="8">
        <v>33.864645242259044</v>
      </c>
      <c r="M475" s="8">
        <v>36.336666666666666</v>
      </c>
      <c r="N475" s="8">
        <v>41.076666666666668</v>
      </c>
    </row>
    <row r="476" spans="1:14" x14ac:dyDescent="0.25">
      <c r="A476" s="6" t="s">
        <v>17</v>
      </c>
      <c r="B476" s="7"/>
      <c r="C476" s="7"/>
      <c r="D476" s="7"/>
      <c r="E476" s="8"/>
      <c r="F476" s="8"/>
      <c r="G476" s="8"/>
      <c r="H476" s="8"/>
      <c r="I476" s="8"/>
      <c r="J476" s="8"/>
      <c r="K476" s="8"/>
      <c r="L476" s="8"/>
      <c r="M476" s="8"/>
      <c r="N476" s="8"/>
    </row>
    <row r="477" spans="1:14" x14ac:dyDescent="0.25">
      <c r="A477" s="6" t="s">
        <v>388</v>
      </c>
      <c r="B477" s="7"/>
      <c r="C477" s="7"/>
      <c r="D477" s="7"/>
      <c r="E477" s="8"/>
      <c r="F477" s="8"/>
      <c r="G477" s="8"/>
      <c r="H477" s="8"/>
      <c r="I477" s="8"/>
      <c r="J477" s="8"/>
      <c r="K477" s="8"/>
      <c r="L477" s="8"/>
      <c r="M477" s="8"/>
      <c r="N477" s="8"/>
    </row>
    <row r="478" spans="1:14" x14ac:dyDescent="0.25">
      <c r="A478" s="6" t="s">
        <v>389</v>
      </c>
      <c r="B478" s="7"/>
      <c r="C478" s="7"/>
      <c r="D478" s="7"/>
      <c r="E478" s="8"/>
      <c r="F478" s="8"/>
      <c r="G478" s="8"/>
      <c r="H478" s="8"/>
      <c r="I478" s="8"/>
      <c r="J478" s="8"/>
      <c r="K478" s="8"/>
      <c r="L478" s="8"/>
      <c r="M478" s="8"/>
      <c r="N478" s="8"/>
    </row>
    <row r="479" spans="1:14" x14ac:dyDescent="0.25">
      <c r="A479" s="6" t="s">
        <v>240</v>
      </c>
      <c r="B479" s="7" t="s">
        <v>241</v>
      </c>
      <c r="C479" s="7" t="s">
        <v>242</v>
      </c>
      <c r="D479" s="7"/>
      <c r="E479" s="8">
        <v>15297</v>
      </c>
      <c r="F479" s="8">
        <v>15119</v>
      </c>
      <c r="G479" s="8">
        <v>14714</v>
      </c>
      <c r="H479" s="8">
        <v>20878</v>
      </c>
      <c r="I479" s="8">
        <v>17941</v>
      </c>
      <c r="J479" s="8">
        <v>35153</v>
      </c>
      <c r="K479" s="8">
        <v>14066</v>
      </c>
      <c r="L479" s="8">
        <v>26804</v>
      </c>
      <c r="M479" s="8">
        <v>24415.555555555558</v>
      </c>
      <c r="N479" s="8">
        <v>26676.888888888891</v>
      </c>
    </row>
    <row r="480" spans="1:14" x14ac:dyDescent="0.25">
      <c r="A480" s="6" t="s">
        <v>392</v>
      </c>
      <c r="B480" s="7" t="s">
        <v>168</v>
      </c>
      <c r="C480" s="7" t="s">
        <v>169</v>
      </c>
      <c r="D480" s="7"/>
      <c r="E480" s="8">
        <v>6929</v>
      </c>
      <c r="F480" s="8">
        <v>7009</v>
      </c>
      <c r="G480" s="8">
        <v>7231</v>
      </c>
      <c r="H480" s="8">
        <v>7390</v>
      </c>
      <c r="I480" s="8">
        <v>6970</v>
      </c>
      <c r="J480" s="8">
        <v>7486</v>
      </c>
      <c r="K480" s="8">
        <v>7339</v>
      </c>
      <c r="L480" s="8">
        <v>7503</v>
      </c>
      <c r="M480" s="8">
        <v>6981.4841582407153</v>
      </c>
      <c r="N480" s="8">
        <v>7135.7056564461245</v>
      </c>
    </row>
    <row r="481" spans="1:14" x14ac:dyDescent="0.25">
      <c r="A481" s="6" t="s">
        <v>542</v>
      </c>
      <c r="B481" s="7" t="s">
        <v>396</v>
      </c>
      <c r="C481" s="7" t="s">
        <v>397</v>
      </c>
      <c r="D481" s="7"/>
      <c r="E481" s="8">
        <v>978</v>
      </c>
      <c r="F481" s="8">
        <v>977</v>
      </c>
      <c r="G481" s="8">
        <v>1005</v>
      </c>
      <c r="H481" s="8">
        <v>1135</v>
      </c>
      <c r="I481" s="8">
        <v>1138</v>
      </c>
      <c r="J481" s="8">
        <v>1162</v>
      </c>
      <c r="K481" s="8">
        <v>1176</v>
      </c>
      <c r="L481" s="8">
        <v>1354</v>
      </c>
      <c r="M481" s="8">
        <v>1284.5441466965049</v>
      </c>
      <c r="N481" s="8">
        <v>1208.4837533102839</v>
      </c>
    </row>
    <row r="482" spans="1:14" x14ac:dyDescent="0.25">
      <c r="A482" s="6" t="s">
        <v>541</v>
      </c>
      <c r="B482" s="7" t="s">
        <v>540</v>
      </c>
      <c r="C482" s="7" t="s">
        <v>539</v>
      </c>
      <c r="D482" s="7"/>
      <c r="E482" s="8">
        <v>-1217</v>
      </c>
      <c r="F482" s="8">
        <v>-2154</v>
      </c>
      <c r="G482" s="8">
        <v>-111</v>
      </c>
      <c r="H482" s="8">
        <v>-617</v>
      </c>
      <c r="I482" s="8">
        <v>-380</v>
      </c>
      <c r="J482" s="8">
        <v>-117</v>
      </c>
      <c r="K482" s="8">
        <v>-226</v>
      </c>
      <c r="L482" s="8">
        <v>-263</v>
      </c>
      <c r="M482" s="8" t="s">
        <v>1483</v>
      </c>
      <c r="N482" s="8" t="s">
        <v>1483</v>
      </c>
    </row>
    <row r="483" spans="1:14" x14ac:dyDescent="0.25">
      <c r="A483" s="6" t="s">
        <v>538</v>
      </c>
      <c r="B483" s="7"/>
      <c r="C483" s="7"/>
      <c r="D483" s="7"/>
      <c r="E483" s="8"/>
      <c r="F483" s="8"/>
      <c r="G483" s="8"/>
      <c r="H483" s="8"/>
      <c r="I483" s="8"/>
      <c r="J483" s="8"/>
      <c r="K483" s="8"/>
      <c r="L483" s="8"/>
      <c r="M483" s="8"/>
      <c r="N483" s="8"/>
    </row>
    <row r="484" spans="1:14" x14ac:dyDescent="0.25">
      <c r="A484" s="6" t="s">
        <v>537</v>
      </c>
      <c r="B484" s="7" t="s">
        <v>403</v>
      </c>
      <c r="C484" s="7" t="s">
        <v>404</v>
      </c>
      <c r="D484" s="7"/>
      <c r="E484" s="8">
        <v>-1185</v>
      </c>
      <c r="F484" s="8">
        <v>-289</v>
      </c>
      <c r="G484" s="8">
        <v>774</v>
      </c>
      <c r="H484" s="8">
        <v>-2402</v>
      </c>
      <c r="I484" s="8">
        <v>-1290</v>
      </c>
      <c r="J484" s="8">
        <v>-624</v>
      </c>
      <c r="K484" s="8">
        <v>-406</v>
      </c>
      <c r="L484" s="8">
        <v>-1781</v>
      </c>
      <c r="M484" s="8">
        <v>-914.70766892615416</v>
      </c>
      <c r="N484" s="8">
        <v>-1212.2539045665953</v>
      </c>
    </row>
    <row r="485" spans="1:14" x14ac:dyDescent="0.25">
      <c r="A485" s="6" t="s">
        <v>270</v>
      </c>
      <c r="B485" s="7" t="s">
        <v>406</v>
      </c>
      <c r="C485" s="7" t="s">
        <v>407</v>
      </c>
      <c r="D485" s="7"/>
      <c r="E485" s="8">
        <v>-644</v>
      </c>
      <c r="F485" s="8">
        <v>-277</v>
      </c>
      <c r="G485" s="8">
        <v>-265</v>
      </c>
      <c r="H485" s="8">
        <v>-1248</v>
      </c>
      <c r="I485" s="8">
        <v>-2527</v>
      </c>
      <c r="J485" s="8">
        <v>-1323</v>
      </c>
      <c r="K485" s="8">
        <v>-1128</v>
      </c>
      <c r="L485" s="8">
        <v>-1450</v>
      </c>
      <c r="M485" s="8">
        <v>-754.54151502361492</v>
      </c>
      <c r="N485" s="8">
        <v>-972.28933514628295</v>
      </c>
    </row>
    <row r="486" spans="1:14" x14ac:dyDescent="0.25">
      <c r="A486" s="6" t="s">
        <v>536</v>
      </c>
      <c r="B486" s="7" t="s">
        <v>535</v>
      </c>
      <c r="C486" s="7" t="s">
        <v>534</v>
      </c>
      <c r="D486" s="7"/>
      <c r="E486" s="8">
        <v>3951</v>
      </c>
      <c r="F486" s="8">
        <v>4060</v>
      </c>
      <c r="G486" s="8">
        <v>5141</v>
      </c>
      <c r="H486" s="8">
        <v>2437</v>
      </c>
      <c r="I486" s="8">
        <v>1098</v>
      </c>
      <c r="J486" s="8">
        <v>2346</v>
      </c>
      <c r="K486" s="8">
        <v>1621</v>
      </c>
      <c r="L486" s="8">
        <v>2377</v>
      </c>
      <c r="M486" s="8">
        <v>1027.309253604702</v>
      </c>
      <c r="N486" s="8">
        <v>1057.1673331332775</v>
      </c>
    </row>
    <row r="487" spans="1:14" x14ac:dyDescent="0.25">
      <c r="A487" s="6" t="s">
        <v>533</v>
      </c>
      <c r="B487" s="7" t="s">
        <v>532</v>
      </c>
      <c r="C487" s="7" t="s">
        <v>531</v>
      </c>
      <c r="D487" s="7"/>
      <c r="E487" s="8">
        <v>-1844</v>
      </c>
      <c r="F487" s="8">
        <v>-1054</v>
      </c>
      <c r="G487" s="8">
        <v>-3704</v>
      </c>
      <c r="H487" s="8">
        <v>-1964</v>
      </c>
      <c r="I487" s="8">
        <v>687</v>
      </c>
      <c r="J487" s="8">
        <v>-3480</v>
      </c>
      <c r="K487" s="8">
        <v>1717</v>
      </c>
      <c r="L487" s="8">
        <v>-6167</v>
      </c>
      <c r="M487" s="8">
        <v>-139.10763444402073</v>
      </c>
      <c r="N487" s="8">
        <v>-152.58066389501619</v>
      </c>
    </row>
    <row r="488" spans="1:14" x14ac:dyDescent="0.25">
      <c r="A488" s="6" t="s">
        <v>530</v>
      </c>
      <c r="B488" s="7" t="s">
        <v>529</v>
      </c>
      <c r="C488" s="7" t="s">
        <v>528</v>
      </c>
      <c r="D488" s="7"/>
      <c r="E488" s="8">
        <v>-275</v>
      </c>
      <c r="F488" s="8">
        <v>1425</v>
      </c>
      <c r="G488" s="8">
        <v>744</v>
      </c>
      <c r="H488" s="8">
        <v>-1061</v>
      </c>
      <c r="I488" s="8">
        <v>-1979</v>
      </c>
      <c r="J488" s="8">
        <v>5588</v>
      </c>
      <c r="K488" s="8">
        <v>33</v>
      </c>
      <c r="L488" s="8">
        <v>-5697</v>
      </c>
      <c r="M488" s="8">
        <v>169.70269051625655</v>
      </c>
      <c r="N488" s="8">
        <v>338.27097190320274</v>
      </c>
    </row>
    <row r="489" spans="1:14" x14ac:dyDescent="0.25">
      <c r="A489" s="6" t="s">
        <v>421</v>
      </c>
      <c r="B489" s="7" t="s">
        <v>422</v>
      </c>
      <c r="C489" s="7" t="s">
        <v>423</v>
      </c>
      <c r="D489" s="7"/>
      <c r="E489" s="8">
        <v>22201</v>
      </c>
      <c r="F489" s="8">
        <v>23416</v>
      </c>
      <c r="G489" s="8">
        <v>23536</v>
      </c>
      <c r="H489" s="8">
        <v>23410</v>
      </c>
      <c r="I489" s="8">
        <v>21194</v>
      </c>
      <c r="J489" s="8">
        <v>22791</v>
      </c>
      <c r="K489" s="8">
        <v>24266</v>
      </c>
      <c r="L489" s="8">
        <v>24530</v>
      </c>
      <c r="M489" s="8">
        <v>31113.245225759369</v>
      </c>
      <c r="N489" s="8">
        <v>33182.733112791393</v>
      </c>
    </row>
    <row r="490" spans="1:14" x14ac:dyDescent="0.25">
      <c r="A490" s="6" t="s">
        <v>17</v>
      </c>
      <c r="B490" s="7"/>
      <c r="C490" s="7"/>
      <c r="D490" s="7"/>
      <c r="E490" s="8"/>
      <c r="F490" s="8"/>
      <c r="G490" s="8"/>
      <c r="H490" s="8"/>
      <c r="I490" s="8"/>
      <c r="J490" s="8"/>
      <c r="K490" s="8"/>
      <c r="L490" s="8"/>
      <c r="M490" s="8"/>
      <c r="N490" s="8"/>
    </row>
    <row r="491" spans="1:14" x14ac:dyDescent="0.25">
      <c r="A491" s="6" t="s">
        <v>424</v>
      </c>
      <c r="B491" s="7"/>
      <c r="C491" s="7"/>
      <c r="D491" s="7"/>
      <c r="E491" s="8"/>
      <c r="F491" s="8"/>
      <c r="G491" s="8"/>
      <c r="H491" s="8"/>
      <c r="I491" s="8"/>
      <c r="J491" s="8"/>
      <c r="K491" s="8"/>
      <c r="L491" s="8"/>
      <c r="M491" s="8"/>
      <c r="N491" s="8"/>
    </row>
    <row r="492" spans="1:14" x14ac:dyDescent="0.25">
      <c r="A492" s="6" t="s">
        <v>425</v>
      </c>
      <c r="B492" s="7" t="s">
        <v>426</v>
      </c>
      <c r="C492" s="7" t="s">
        <v>427</v>
      </c>
      <c r="D492" s="7"/>
      <c r="E492" s="8">
        <v>-3670</v>
      </c>
      <c r="F492" s="8">
        <v>-3498</v>
      </c>
      <c r="G492" s="8">
        <v>-3347</v>
      </c>
      <c r="H492" s="8">
        <v>-3652</v>
      </c>
      <c r="I492" s="8">
        <v>-4009</v>
      </c>
      <c r="J492" s="8">
        <v>-4543</v>
      </c>
      <c r="K492" s="8">
        <v>-4424</v>
      </c>
      <c r="L492" s="8">
        <v>-4832</v>
      </c>
      <c r="M492" s="8">
        <v>-4655.7857142857138</v>
      </c>
      <c r="N492" s="8">
        <v>-4831.5714285714284</v>
      </c>
    </row>
    <row r="493" spans="1:14" x14ac:dyDescent="0.25">
      <c r="A493" s="6" t="s">
        <v>155</v>
      </c>
      <c r="B493" s="7" t="s">
        <v>428</v>
      </c>
      <c r="C493" s="7" t="s">
        <v>429</v>
      </c>
      <c r="D493" s="7"/>
      <c r="E493" s="8">
        <v>4.4985964869271031</v>
      </c>
      <c r="F493" s="8">
        <v>4.2627865316418676</v>
      </c>
      <c r="G493" s="8">
        <v>4.052843165746391</v>
      </c>
      <c r="H493" s="8">
        <v>3.8944281524926692</v>
      </c>
      <c r="I493" s="8">
        <v>5.0118764845605703</v>
      </c>
      <c r="J493" s="8">
        <v>5.3347268051527141</v>
      </c>
      <c r="K493" s="8">
        <v>4.980804089123068</v>
      </c>
      <c r="L493" s="8">
        <v>5.1298928795133394</v>
      </c>
      <c r="M493" s="8">
        <v>4.7076376382882543</v>
      </c>
      <c r="N493" s="8">
        <v>4.6243696088490038</v>
      </c>
    </row>
    <row r="494" spans="1:14" x14ac:dyDescent="0.25">
      <c r="A494" s="6" t="s">
        <v>527</v>
      </c>
      <c r="B494" s="7" t="s">
        <v>526</v>
      </c>
      <c r="C494" s="7" t="s">
        <v>525</v>
      </c>
      <c r="D494" s="7"/>
      <c r="E494" s="8">
        <v>3203</v>
      </c>
      <c r="F494" s="8">
        <v>3265</v>
      </c>
      <c r="G494" s="8">
        <v>305</v>
      </c>
      <c r="H494" s="8">
        <v>711</v>
      </c>
      <c r="I494" s="8">
        <v>543</v>
      </c>
      <c r="J494" s="8">
        <v>358</v>
      </c>
      <c r="K494" s="8">
        <v>675</v>
      </c>
      <c r="L494" s="8">
        <v>720</v>
      </c>
      <c r="M494" s="8">
        <v>1000</v>
      </c>
      <c r="N494" s="8">
        <v>1000</v>
      </c>
    </row>
    <row r="495" spans="1:14" x14ac:dyDescent="0.25">
      <c r="A495" s="6" t="s">
        <v>524</v>
      </c>
      <c r="B495" s="7" t="s">
        <v>523</v>
      </c>
      <c r="C495" s="7" t="s">
        <v>522</v>
      </c>
      <c r="D495" s="7"/>
      <c r="E495" s="8">
        <v>4289</v>
      </c>
      <c r="F495" s="8">
        <v>3387</v>
      </c>
      <c r="G495" s="8">
        <v>12137</v>
      </c>
      <c r="H495" s="8">
        <v>25006</v>
      </c>
      <c r="I495" s="8">
        <v>41609</v>
      </c>
      <c r="J495" s="8">
        <v>19390</v>
      </c>
      <c r="K495" s="8">
        <v>2462</v>
      </c>
      <c r="L495" s="8">
        <v>1661</v>
      </c>
      <c r="M495" s="8">
        <v>2387.25</v>
      </c>
      <c r="N495" s="8">
        <v>2387.25</v>
      </c>
    </row>
    <row r="496" spans="1:14" x14ac:dyDescent="0.25">
      <c r="A496" s="6" t="s">
        <v>521</v>
      </c>
      <c r="B496" s="7" t="s">
        <v>520</v>
      </c>
      <c r="C496" s="7" t="s">
        <v>519</v>
      </c>
      <c r="D496" s="7"/>
      <c r="E496" s="8">
        <v>-5626</v>
      </c>
      <c r="F496" s="8">
        <v>-3920</v>
      </c>
      <c r="G496" s="8">
        <v>-21089</v>
      </c>
      <c r="H496" s="8">
        <v>-30394</v>
      </c>
      <c r="I496" s="8">
        <v>-32384</v>
      </c>
      <c r="J496" s="8">
        <v>-10906</v>
      </c>
      <c r="K496" s="8">
        <v>-1726</v>
      </c>
      <c r="L496" s="8">
        <v>-920</v>
      </c>
      <c r="M496" s="8">
        <v>-2113</v>
      </c>
      <c r="N496" s="8">
        <v>-2113</v>
      </c>
    </row>
    <row r="497" spans="1:14" x14ac:dyDescent="0.25">
      <c r="A497" s="6" t="s">
        <v>518</v>
      </c>
      <c r="B497" s="7" t="s">
        <v>431</v>
      </c>
      <c r="C497" s="7" t="s">
        <v>432</v>
      </c>
      <c r="D497" s="7"/>
      <c r="E497" s="8">
        <v>-899</v>
      </c>
      <c r="F497" s="8">
        <v>-5810</v>
      </c>
      <c r="G497" s="8">
        <v>-7323</v>
      </c>
      <c r="H497" s="8">
        <v>-60</v>
      </c>
      <c r="I497" s="8">
        <v>-17652</v>
      </c>
      <c r="J497" s="8">
        <v>0</v>
      </c>
      <c r="K497" s="8">
        <v>-15146</v>
      </c>
      <c r="L497" s="8">
        <v>-17541</v>
      </c>
      <c r="M497" s="8">
        <v>-4026.6283225378065</v>
      </c>
      <c r="N497" s="8">
        <v>-4965.5792129635474</v>
      </c>
    </row>
    <row r="498" spans="1:14" x14ac:dyDescent="0.25">
      <c r="A498" s="6" t="s">
        <v>517</v>
      </c>
      <c r="B498" s="7" t="s">
        <v>443</v>
      </c>
      <c r="C498" s="7" t="s">
        <v>444</v>
      </c>
      <c r="D498" s="7"/>
      <c r="E498" s="8">
        <v>-464</v>
      </c>
      <c r="F498" s="8">
        <v>382</v>
      </c>
      <c r="G498" s="8">
        <v>-1508</v>
      </c>
      <c r="H498" s="8">
        <v>-294</v>
      </c>
      <c r="I498" s="8">
        <v>-478</v>
      </c>
      <c r="J498" s="8">
        <v>-2951</v>
      </c>
      <c r="K498" s="8">
        <v>1343</v>
      </c>
      <c r="L498" s="8">
        <v>-2291</v>
      </c>
      <c r="M498" s="8">
        <v>571.5</v>
      </c>
      <c r="N498" s="8">
        <v>571.5</v>
      </c>
    </row>
    <row r="499" spans="1:14" x14ac:dyDescent="0.25">
      <c r="A499" s="6" t="s">
        <v>445</v>
      </c>
      <c r="B499" s="7" t="s">
        <v>446</v>
      </c>
      <c r="C499" s="7" t="s">
        <v>447</v>
      </c>
      <c r="D499" s="7"/>
      <c r="E499" s="8">
        <v>-3167</v>
      </c>
      <c r="F499" s="8">
        <v>-6194</v>
      </c>
      <c r="G499" s="8">
        <v>-20825</v>
      </c>
      <c r="H499" s="8">
        <v>-8683</v>
      </c>
      <c r="I499" s="8">
        <v>-12371</v>
      </c>
      <c r="J499" s="8">
        <v>878</v>
      </c>
      <c r="K499" s="8">
        <v>-18599</v>
      </c>
      <c r="L499" s="8">
        <v>-23588</v>
      </c>
      <c r="M499" s="8">
        <v>-6527.0288747572004</v>
      </c>
      <c r="N499" s="8">
        <v>-7090.4022046832761</v>
      </c>
    </row>
    <row r="500" spans="1:14" x14ac:dyDescent="0.25">
      <c r="A500" s="6" t="s">
        <v>17</v>
      </c>
      <c r="B500" s="7"/>
      <c r="C500" s="7"/>
      <c r="D500" s="7"/>
      <c r="E500" s="8"/>
      <c r="F500" s="8"/>
      <c r="G500" s="8"/>
      <c r="H500" s="8"/>
      <c r="I500" s="8"/>
      <c r="J500" s="8"/>
      <c r="K500" s="8"/>
      <c r="L500" s="8"/>
      <c r="M500" s="8"/>
      <c r="N500" s="8"/>
    </row>
    <row r="501" spans="1:14" x14ac:dyDescent="0.25">
      <c r="A501" s="6" t="s">
        <v>448</v>
      </c>
      <c r="B501" s="7"/>
      <c r="C501" s="7"/>
      <c r="D501" s="7"/>
      <c r="E501" s="8"/>
      <c r="F501" s="8"/>
      <c r="G501" s="8"/>
      <c r="H501" s="8"/>
      <c r="I501" s="8"/>
      <c r="J501" s="8"/>
      <c r="K501" s="8"/>
      <c r="L501" s="8"/>
      <c r="M501" s="8"/>
      <c r="N501" s="8"/>
    </row>
    <row r="502" spans="1:14" x14ac:dyDescent="0.25">
      <c r="A502" s="6" t="s">
        <v>455</v>
      </c>
      <c r="B502" s="7" t="s">
        <v>456</v>
      </c>
      <c r="C502" s="7" t="s">
        <v>457</v>
      </c>
      <c r="D502" s="7"/>
      <c r="E502" s="8">
        <v>-9494</v>
      </c>
      <c r="F502" s="8">
        <v>-9917</v>
      </c>
      <c r="G502" s="8">
        <v>-10481</v>
      </c>
      <c r="H502" s="8">
        <v>-11032</v>
      </c>
      <c r="I502" s="8">
        <v>-11682</v>
      </c>
      <c r="J502" s="8">
        <v>-11770</v>
      </c>
      <c r="K502" s="8">
        <v>-11823</v>
      </c>
      <c r="L502" s="8">
        <v>-12381</v>
      </c>
      <c r="M502" s="8">
        <v>-12804.979549516609</v>
      </c>
      <c r="N502" s="8">
        <v>-13390.220972036363</v>
      </c>
    </row>
    <row r="503" spans="1:14" x14ac:dyDescent="0.25">
      <c r="A503" s="6" t="s">
        <v>516</v>
      </c>
      <c r="B503" s="7" t="s">
        <v>515</v>
      </c>
      <c r="C503" s="7" t="s">
        <v>514</v>
      </c>
      <c r="D503" s="7"/>
      <c r="E503" s="8">
        <v>80</v>
      </c>
      <c r="F503" s="8">
        <v>39</v>
      </c>
      <c r="G503" s="8">
        <v>3391</v>
      </c>
      <c r="H503" s="8">
        <v>1997</v>
      </c>
      <c r="I503" s="8">
        <v>16134</v>
      </c>
      <c r="J503" s="8">
        <v>13743</v>
      </c>
      <c r="K503" s="8">
        <v>15277</v>
      </c>
      <c r="L503" s="8">
        <v>14586</v>
      </c>
      <c r="M503" s="8">
        <v>14690.444444444445</v>
      </c>
      <c r="N503" s="8">
        <v>15006.259259259261</v>
      </c>
    </row>
    <row r="504" spans="1:14" x14ac:dyDescent="0.25">
      <c r="A504" s="6" t="s">
        <v>513</v>
      </c>
      <c r="B504" s="7" t="s">
        <v>512</v>
      </c>
      <c r="C504" s="7" t="s">
        <v>511</v>
      </c>
      <c r="D504" s="7"/>
      <c r="E504" s="8">
        <v>-2454</v>
      </c>
      <c r="F504" s="8">
        <v>-100</v>
      </c>
      <c r="G504" s="8">
        <v>-2663</v>
      </c>
      <c r="H504" s="8">
        <v>-1190</v>
      </c>
      <c r="I504" s="8">
        <v>-6550</v>
      </c>
      <c r="J504" s="8">
        <v>-22973</v>
      </c>
      <c r="K504" s="8">
        <v>-9463</v>
      </c>
      <c r="L504" s="8">
        <v>-12330</v>
      </c>
      <c r="M504" s="8">
        <v>-10563.388888888889</v>
      </c>
      <c r="N504" s="8">
        <v>-12534.037037037038</v>
      </c>
    </row>
    <row r="505" spans="1:14" x14ac:dyDescent="0.25">
      <c r="A505" s="6" t="s">
        <v>510</v>
      </c>
      <c r="B505" s="7" t="s">
        <v>462</v>
      </c>
      <c r="C505" s="7" t="s">
        <v>463</v>
      </c>
      <c r="D505" s="7"/>
      <c r="E505" s="8">
        <v>5</v>
      </c>
      <c r="F505" s="8">
        <v>3</v>
      </c>
      <c r="G505" s="8">
        <v>7431</v>
      </c>
      <c r="H505" s="8">
        <v>5</v>
      </c>
      <c r="I505" s="8">
        <v>2</v>
      </c>
      <c r="J505" s="8">
        <v>0</v>
      </c>
      <c r="K505" s="8">
        <v>6660</v>
      </c>
      <c r="L505" s="8">
        <v>9138</v>
      </c>
      <c r="M505" s="8">
        <v>2960.2222222222222</v>
      </c>
      <c r="N505" s="8">
        <v>3946.962962962963</v>
      </c>
    </row>
    <row r="506" spans="1:14" x14ac:dyDescent="0.25">
      <c r="A506" s="6" t="s">
        <v>509</v>
      </c>
      <c r="B506" s="7" t="s">
        <v>508</v>
      </c>
      <c r="C506" s="7" t="s">
        <v>507</v>
      </c>
      <c r="D506" s="7"/>
      <c r="E506" s="8">
        <v>-1555</v>
      </c>
      <c r="F506" s="8">
        <v>-2823</v>
      </c>
      <c r="G506" s="8">
        <v>-1064</v>
      </c>
      <c r="H506" s="8">
        <v>-1802</v>
      </c>
      <c r="I506" s="8">
        <v>-2134</v>
      </c>
      <c r="J506" s="8">
        <v>-1551</v>
      </c>
      <c r="K506" s="8">
        <v>-1453</v>
      </c>
      <c r="L506" s="8">
        <v>-1757</v>
      </c>
      <c r="M506" s="8">
        <v>-1982.25</v>
      </c>
      <c r="N506" s="8">
        <v>-2413.75</v>
      </c>
    </row>
    <row r="507" spans="1:14" x14ac:dyDescent="0.25">
      <c r="A507" s="6" t="s">
        <v>506</v>
      </c>
      <c r="B507" s="7" t="s">
        <v>505</v>
      </c>
      <c r="C507" s="7" t="s">
        <v>504</v>
      </c>
      <c r="D507" s="7"/>
      <c r="E507" s="8">
        <v>-5868</v>
      </c>
      <c r="F507" s="8">
        <v>-6746</v>
      </c>
      <c r="G507" s="8">
        <v>-3221</v>
      </c>
      <c r="H507" s="8">
        <v>-3456</v>
      </c>
      <c r="I507" s="8">
        <v>-6035</v>
      </c>
      <c r="J507" s="8">
        <v>-5054</v>
      </c>
      <c r="K507" s="8">
        <v>-2432</v>
      </c>
      <c r="L507" s="8">
        <v>-5953</v>
      </c>
      <c r="M507" s="8">
        <v>-2882.3521788226089</v>
      </c>
      <c r="N507" s="8">
        <v>-4753.7390371566762</v>
      </c>
    </row>
    <row r="508" spans="1:14" x14ac:dyDescent="0.25">
      <c r="A508" s="6" t="s">
        <v>503</v>
      </c>
      <c r="B508" s="7" t="s">
        <v>502</v>
      </c>
      <c r="C508" s="7" t="s">
        <v>501</v>
      </c>
      <c r="D508" s="7"/>
      <c r="E508" s="8">
        <v>949</v>
      </c>
      <c r="F508" s="8">
        <v>954</v>
      </c>
      <c r="G508" s="8">
        <v>1114</v>
      </c>
      <c r="H508" s="8">
        <v>1036</v>
      </c>
      <c r="I508" s="8">
        <v>1329</v>
      </c>
      <c r="J508" s="8">
        <v>1094</v>
      </c>
      <c r="K508" s="8">
        <v>838</v>
      </c>
      <c r="L508" s="8">
        <v>3418</v>
      </c>
      <c r="M508" s="8">
        <v>1766.5588370471544</v>
      </c>
      <c r="N508" s="8">
        <v>1691.5034698443214</v>
      </c>
    </row>
    <row r="509" spans="1:14" x14ac:dyDescent="0.25">
      <c r="A509" s="6" t="s">
        <v>500</v>
      </c>
      <c r="B509" s="7" t="s">
        <v>465</v>
      </c>
      <c r="C509" s="7" t="s">
        <v>466</v>
      </c>
      <c r="D509" s="7"/>
      <c r="E509" s="8">
        <v>-173</v>
      </c>
      <c r="F509" s="8">
        <v>575</v>
      </c>
      <c r="G509" s="8">
        <v>-627</v>
      </c>
      <c r="H509" s="8">
        <v>395</v>
      </c>
      <c r="I509" s="8">
        <v>65</v>
      </c>
      <c r="J509" s="8">
        <v>10686</v>
      </c>
      <c r="K509" s="8">
        <v>-736</v>
      </c>
      <c r="L509" s="8">
        <v>-260</v>
      </c>
      <c r="M509" s="8" t="s">
        <v>1483</v>
      </c>
      <c r="N509" s="8" t="s">
        <v>1483</v>
      </c>
    </row>
    <row r="510" spans="1:14" x14ac:dyDescent="0.25">
      <c r="A510" s="6" t="s">
        <v>458</v>
      </c>
      <c r="B510" s="7" t="s">
        <v>459</v>
      </c>
      <c r="C510" s="7" t="s">
        <v>460</v>
      </c>
      <c r="D510" s="7"/>
      <c r="E510" s="8">
        <v>-3924</v>
      </c>
      <c r="F510" s="8">
        <v>-2881</v>
      </c>
      <c r="G510" s="8">
        <v>7095</v>
      </c>
      <c r="H510" s="8">
        <v>-990</v>
      </c>
      <c r="I510" s="8">
        <v>7452</v>
      </c>
      <c r="J510" s="8">
        <v>-10781</v>
      </c>
      <c r="K510" s="8">
        <v>11021</v>
      </c>
      <c r="L510" s="8">
        <v>9637</v>
      </c>
      <c r="M510" s="8">
        <v>-2000</v>
      </c>
      <c r="N510" s="8">
        <v>-3216</v>
      </c>
    </row>
    <row r="511" spans="1:14" x14ac:dyDescent="0.25">
      <c r="A511" s="6" t="s">
        <v>467</v>
      </c>
      <c r="B511" s="7" t="s">
        <v>468</v>
      </c>
      <c r="C511" s="7" t="s">
        <v>469</v>
      </c>
      <c r="D511" s="7"/>
      <c r="E511" s="8">
        <v>-18510</v>
      </c>
      <c r="F511" s="8">
        <v>-18015</v>
      </c>
      <c r="G511" s="8">
        <v>-6120</v>
      </c>
      <c r="H511" s="8">
        <v>-14047</v>
      </c>
      <c r="I511" s="8">
        <v>-8871</v>
      </c>
      <c r="J511" s="8">
        <v>-15825</v>
      </c>
      <c r="K511" s="8">
        <v>-3132</v>
      </c>
      <c r="L511" s="8">
        <v>-5539</v>
      </c>
      <c r="M511" s="8">
        <v>-15515.261966446064</v>
      </c>
      <c r="N511" s="8">
        <v>-16317.10673719642</v>
      </c>
    </row>
    <row r="512" spans="1:14" x14ac:dyDescent="0.25">
      <c r="A512" s="6" t="s">
        <v>17</v>
      </c>
      <c r="B512" s="7"/>
      <c r="C512" s="7"/>
      <c r="D512" s="7"/>
      <c r="E512" s="8"/>
      <c r="F512" s="8"/>
      <c r="G512" s="8"/>
      <c r="H512" s="8"/>
      <c r="I512" s="8"/>
      <c r="J512" s="8"/>
      <c r="K512" s="8"/>
      <c r="L512" s="8"/>
      <c r="M512" s="8"/>
      <c r="N512" s="8"/>
    </row>
    <row r="513" spans="1:14" x14ac:dyDescent="0.25">
      <c r="A513" s="6" t="s">
        <v>360</v>
      </c>
      <c r="B513" s="7"/>
      <c r="C513" s="7"/>
      <c r="D513" s="7"/>
      <c r="E513" s="8"/>
      <c r="F513" s="8"/>
      <c r="G513" s="8"/>
      <c r="H513" s="8"/>
      <c r="I513" s="8"/>
      <c r="J513" s="8"/>
      <c r="K513" s="8"/>
      <c r="L513" s="8"/>
      <c r="M513" s="8"/>
      <c r="N513" s="8"/>
    </row>
    <row r="514" spans="1:14" x14ac:dyDescent="0.25">
      <c r="A514" s="6" t="s">
        <v>499</v>
      </c>
      <c r="B514" s="7" t="s">
        <v>490</v>
      </c>
      <c r="C514" s="7" t="s">
        <v>491</v>
      </c>
      <c r="D514" s="7"/>
      <c r="E514" s="8">
        <v>-241</v>
      </c>
      <c r="F514" s="8">
        <v>-9</v>
      </c>
      <c r="G514" s="8">
        <v>89</v>
      </c>
      <c r="H514" s="8">
        <v>-178</v>
      </c>
      <c r="I514" s="8">
        <v>-312</v>
      </c>
      <c r="J514" s="8">
        <v>-112</v>
      </c>
      <c r="K514" s="8">
        <v>-289</v>
      </c>
      <c r="L514" s="8">
        <v>201</v>
      </c>
      <c r="M514" s="8" t="s">
        <v>1483</v>
      </c>
      <c r="N514" s="8" t="s">
        <v>1483</v>
      </c>
    </row>
    <row r="515" spans="1:14" x14ac:dyDescent="0.25">
      <c r="A515" s="6" t="s">
        <v>470</v>
      </c>
      <c r="B515" s="7" t="s">
        <v>471</v>
      </c>
      <c r="C515" s="7" t="s">
        <v>472</v>
      </c>
      <c r="D515" s="7"/>
      <c r="E515" s="8">
        <v>283</v>
      </c>
      <c r="F515" s="8">
        <v>-802</v>
      </c>
      <c r="G515" s="8">
        <v>-3320</v>
      </c>
      <c r="H515" s="8">
        <v>502</v>
      </c>
      <c r="I515" s="8">
        <v>-360</v>
      </c>
      <c r="J515" s="8">
        <v>7732</v>
      </c>
      <c r="K515" s="8">
        <v>2246</v>
      </c>
      <c r="L515" s="8">
        <v>-4396</v>
      </c>
      <c r="M515" s="8">
        <v>8904.6495073819751</v>
      </c>
      <c r="N515" s="8">
        <v>9220.0860843656956</v>
      </c>
    </row>
    <row r="516" spans="1:14" x14ac:dyDescent="0.25">
      <c r="A516" s="6" t="s">
        <v>498</v>
      </c>
      <c r="B516" s="7" t="s">
        <v>475</v>
      </c>
      <c r="C516" s="7" t="s">
        <v>476</v>
      </c>
      <c r="D516" s="7"/>
      <c r="E516" s="8">
        <v>17824</v>
      </c>
      <c r="F516" s="8">
        <v>18107</v>
      </c>
      <c r="G516" s="8">
        <v>17305</v>
      </c>
      <c r="H516" s="8">
        <v>13985</v>
      </c>
      <c r="I516" s="8">
        <v>14487</v>
      </c>
      <c r="J516" s="8">
        <v>14127</v>
      </c>
      <c r="K516" s="8">
        <v>21859</v>
      </c>
      <c r="L516" s="8">
        <v>24105</v>
      </c>
      <c r="M516" s="8">
        <v>29456.795397921192</v>
      </c>
      <c r="N516" s="8">
        <v>40436.208423377604</v>
      </c>
    </row>
    <row r="517" spans="1:14" x14ac:dyDescent="0.25">
      <c r="A517" s="6" t="s">
        <v>497</v>
      </c>
      <c r="B517" s="7" t="s">
        <v>262</v>
      </c>
      <c r="C517" s="7" t="s">
        <v>263</v>
      </c>
      <c r="D517" s="7"/>
      <c r="E517" s="8">
        <v>18107</v>
      </c>
      <c r="F517" s="8">
        <v>17305</v>
      </c>
      <c r="G517" s="8">
        <v>13985</v>
      </c>
      <c r="H517" s="8">
        <v>14487</v>
      </c>
      <c r="I517" s="8">
        <v>12889</v>
      </c>
      <c r="J517" s="8">
        <v>21859</v>
      </c>
      <c r="K517" s="8">
        <v>24105</v>
      </c>
      <c r="L517" s="8">
        <v>19709</v>
      </c>
      <c r="M517" s="8">
        <v>38609.889629420431</v>
      </c>
      <c r="N517" s="8">
        <v>48163.706466305783</v>
      </c>
    </row>
    <row r="518" spans="1:14" x14ac:dyDescent="0.25">
      <c r="A518" s="6" t="s">
        <v>376</v>
      </c>
      <c r="B518" s="7"/>
      <c r="C518" s="7"/>
      <c r="D518" s="7"/>
      <c r="E518" s="8"/>
      <c r="F518" s="8"/>
      <c r="G518" s="8"/>
      <c r="H518" s="8"/>
      <c r="I518" s="8"/>
      <c r="J518" s="8"/>
      <c r="K518" s="8"/>
      <c r="L518" s="8"/>
      <c r="M518" s="8"/>
      <c r="N518" s="8"/>
    </row>
    <row r="519" spans="1:14" x14ac:dyDescent="0.25">
      <c r="A519" s="6" t="s">
        <v>496</v>
      </c>
      <c r="B519" s="7" t="s">
        <v>495</v>
      </c>
      <c r="C519" s="7" t="s">
        <v>494</v>
      </c>
      <c r="D519" s="7"/>
      <c r="E519" s="8">
        <v>8.2793212754055574</v>
      </c>
      <c r="F519" s="8">
        <v>8.8525953650145564</v>
      </c>
      <c r="G519" s="8">
        <v>8.9395320571254935</v>
      </c>
      <c r="H519" s="8">
        <v>8.8940389802819038</v>
      </c>
      <c r="I519" s="8">
        <v>8.0732896541215915</v>
      </c>
      <c r="J519" s="8">
        <v>8.9958555358200112</v>
      </c>
      <c r="K519" s="8">
        <v>10.080172807709882</v>
      </c>
      <c r="L519" s="8">
        <v>10.189415967433746</v>
      </c>
      <c r="M519" s="8">
        <v>11.780819522356719</v>
      </c>
      <c r="N519" s="8">
        <v>12.825891304675594</v>
      </c>
    </row>
    <row r="520" spans="1:14" x14ac:dyDescent="0.25">
      <c r="A520" s="6" t="s">
        <v>480</v>
      </c>
      <c r="B520" s="7" t="s">
        <v>481</v>
      </c>
      <c r="C520" s="7" t="s">
        <v>482</v>
      </c>
      <c r="D520" s="7"/>
      <c r="E520" s="8">
        <v>18531</v>
      </c>
      <c r="F520" s="8">
        <v>19918</v>
      </c>
      <c r="G520" s="8">
        <v>20189</v>
      </c>
      <c r="H520" s="8">
        <v>19758</v>
      </c>
      <c r="I520" s="8">
        <v>17185</v>
      </c>
      <c r="J520" s="8">
        <v>18248</v>
      </c>
      <c r="K520" s="8">
        <v>19842</v>
      </c>
      <c r="L520" s="8">
        <v>19698</v>
      </c>
      <c r="M520" s="8">
        <v>26594.9549114164</v>
      </c>
      <c r="N520" s="8">
        <v>28628.400946836602</v>
      </c>
    </row>
    <row r="521" spans="1:14" x14ac:dyDescent="0.25">
      <c r="A521" s="6" t="s">
        <v>493</v>
      </c>
      <c r="B521" s="7" t="s">
        <v>484</v>
      </c>
      <c r="C521" s="7" t="s">
        <v>485</v>
      </c>
      <c r="D521" s="7"/>
      <c r="E521" s="8">
        <v>22.714847819958077</v>
      </c>
      <c r="F521" s="8">
        <v>24.272779341693173</v>
      </c>
      <c r="G521" s="8">
        <v>24.446624043398238</v>
      </c>
      <c r="H521" s="8">
        <v>21.069581444948014</v>
      </c>
      <c r="I521" s="8">
        <v>21.483935491936492</v>
      </c>
      <c r="J521" s="8">
        <v>21.428152044998178</v>
      </c>
      <c r="K521" s="8">
        <v>22.339311649272133</v>
      </c>
      <c r="L521" s="8">
        <v>20.91238202414192</v>
      </c>
      <c r="M521" s="8" t="s">
        <v>1483</v>
      </c>
      <c r="N521" s="8" t="s">
        <v>1483</v>
      </c>
    </row>
    <row r="522" spans="1:14" x14ac:dyDescent="0.25">
      <c r="A522" s="6" t="s">
        <v>17</v>
      </c>
      <c r="B522" s="7"/>
      <c r="C522" s="7"/>
      <c r="D522" s="7"/>
      <c r="E522" s="8"/>
      <c r="F522" s="8"/>
      <c r="G522" s="8"/>
      <c r="H522" s="8"/>
      <c r="I522" s="8"/>
      <c r="J522" s="8"/>
      <c r="K522" s="8"/>
      <c r="L522" s="8"/>
      <c r="M522" s="8"/>
      <c r="N522" s="8"/>
    </row>
    <row r="523" spans="1:14" x14ac:dyDescent="0.25">
      <c r="A523" s="9" t="s">
        <v>492</v>
      </c>
      <c r="B523" s="9"/>
      <c r="C523" s="9"/>
      <c r="D523" s="9"/>
      <c r="E523" s="9"/>
      <c r="F523" s="9"/>
      <c r="G523" s="9"/>
      <c r="H523" s="9"/>
      <c r="I523" s="9"/>
      <c r="J523" s="9"/>
      <c r="K523" s="9"/>
      <c r="L523" s="9"/>
      <c r="M523" s="9"/>
      <c r="N523"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21DD-9FA4-4694-9865-A5054C53EAA1}">
  <sheetPr codeName="Sheet17">
    <tabColor theme="6"/>
  </sheetPr>
  <dimension ref="A1:N339"/>
  <sheetViews>
    <sheetView workbookViewId="0"/>
  </sheetViews>
  <sheetFormatPr defaultRowHeight="15" x14ac:dyDescent="0.25"/>
  <cols>
    <col min="1" max="1" width="34.28515625" customWidth="1"/>
    <col min="2" max="4" width="0" hidden="1" customWidth="1"/>
    <col min="5" max="14" width="19" customWidth="1"/>
  </cols>
  <sheetData>
    <row r="1" spans="1:14" ht="20.25" x14ac:dyDescent="0.25">
      <c r="A1" s="1" t="s">
        <v>1273</v>
      </c>
      <c r="B1" s="1"/>
      <c r="C1" s="1"/>
      <c r="D1" s="1"/>
      <c r="E1" s="1"/>
      <c r="F1" s="1"/>
      <c r="G1" s="1"/>
      <c r="H1" s="1"/>
      <c r="I1" s="1"/>
      <c r="J1" s="1"/>
      <c r="K1" s="1"/>
      <c r="L1" s="1"/>
      <c r="M1" s="1"/>
      <c r="N1" s="1"/>
    </row>
    <row r="2" spans="1:14" x14ac:dyDescent="0.25">
      <c r="A2" s="2" t="s">
        <v>1272</v>
      </c>
      <c r="B2" s="2"/>
      <c r="C2" s="2"/>
      <c r="D2" s="2"/>
      <c r="E2" s="2"/>
      <c r="F2" s="2"/>
      <c r="G2" s="2"/>
      <c r="H2" s="2"/>
      <c r="I2" s="2"/>
      <c r="J2" s="2"/>
      <c r="K2" s="2"/>
      <c r="L2" s="2"/>
      <c r="M2" s="2"/>
    </row>
    <row r="3" spans="1:14" x14ac:dyDescent="0.25">
      <c r="A3" s="3" t="s">
        <v>2</v>
      </c>
      <c r="B3" s="3"/>
      <c r="C3" s="3"/>
      <c r="D3" s="3"/>
      <c r="E3" s="3" t="s">
        <v>1473</v>
      </c>
      <c r="F3" s="3" t="s">
        <v>1474</v>
      </c>
      <c r="G3" s="3" t="s">
        <v>1475</v>
      </c>
      <c r="H3" s="3" t="s">
        <v>1476</v>
      </c>
      <c r="I3" s="3" t="s">
        <v>1477</v>
      </c>
      <c r="J3" s="3" t="s">
        <v>1478</v>
      </c>
      <c r="K3" s="3" t="s">
        <v>1479</v>
      </c>
      <c r="L3" s="3" t="s">
        <v>1480</v>
      </c>
      <c r="M3" s="3" t="s">
        <v>1481</v>
      </c>
      <c r="N3" s="3" t="s">
        <v>1482</v>
      </c>
    </row>
    <row r="4" spans="1:14" x14ac:dyDescent="0.25">
      <c r="A4" s="4" t="s">
        <v>3</v>
      </c>
      <c r="B4" s="4" t="s">
        <v>4</v>
      </c>
      <c r="C4" s="4" t="s">
        <v>5</v>
      </c>
      <c r="D4" s="4" t="s">
        <v>6</v>
      </c>
      <c r="E4" s="5">
        <v>43465</v>
      </c>
      <c r="F4" s="5">
        <v>43830</v>
      </c>
      <c r="G4" s="5">
        <v>44196</v>
      </c>
      <c r="H4" s="5">
        <v>44561</v>
      </c>
      <c r="I4" s="5">
        <v>44926</v>
      </c>
      <c r="J4" s="5">
        <v>45291</v>
      </c>
      <c r="K4" s="5">
        <v>45657</v>
      </c>
      <c r="L4" s="5">
        <v>46022</v>
      </c>
      <c r="M4" s="5">
        <v>46387</v>
      </c>
      <c r="N4" s="5">
        <v>46752</v>
      </c>
    </row>
    <row r="5" spans="1:14" x14ac:dyDescent="0.25">
      <c r="A5" s="6" t="s">
        <v>7</v>
      </c>
      <c r="B5" s="7"/>
      <c r="C5" s="7"/>
      <c r="D5" s="7"/>
      <c r="E5" s="8"/>
      <c r="F5" s="8"/>
      <c r="G5" s="8"/>
      <c r="H5" s="8"/>
      <c r="I5" s="8"/>
      <c r="J5" s="8"/>
      <c r="K5" s="8"/>
      <c r="L5" s="8"/>
      <c r="M5" s="8"/>
      <c r="N5" s="8"/>
    </row>
    <row r="6" spans="1:14" x14ac:dyDescent="0.25">
      <c r="A6" s="6" t="s">
        <v>8</v>
      </c>
      <c r="B6" s="7" t="s">
        <v>9</v>
      </c>
      <c r="C6" s="7" t="s">
        <v>10</v>
      </c>
      <c r="D6" s="7"/>
      <c r="E6" s="8">
        <v>2.88</v>
      </c>
      <c r="F6" s="8">
        <v>3.24</v>
      </c>
      <c r="G6" s="8">
        <v>3.65</v>
      </c>
      <c r="H6" s="8">
        <v>5.21</v>
      </c>
      <c r="I6" s="8">
        <v>5.34</v>
      </c>
      <c r="J6" s="8">
        <v>4.4400000000000004</v>
      </c>
      <c r="K6" s="8">
        <v>4.67</v>
      </c>
      <c r="L6" s="8">
        <v>5.15</v>
      </c>
      <c r="M6" s="8">
        <v>5.6771428571428562</v>
      </c>
      <c r="N6" s="8">
        <v>6.2459259259259268</v>
      </c>
    </row>
    <row r="7" spans="1:14" x14ac:dyDescent="0.25">
      <c r="A7" s="6" t="s">
        <v>11</v>
      </c>
      <c r="B7" s="7" t="s">
        <v>12</v>
      </c>
      <c r="C7" s="7" t="s">
        <v>13</v>
      </c>
      <c r="D7" s="7"/>
      <c r="E7" s="8">
        <v>30578</v>
      </c>
      <c r="F7" s="8">
        <v>31904</v>
      </c>
      <c r="G7" s="8">
        <v>34608</v>
      </c>
      <c r="H7" s="8">
        <v>43075</v>
      </c>
      <c r="I7" s="8">
        <v>43653</v>
      </c>
      <c r="J7" s="8">
        <v>40109</v>
      </c>
      <c r="K7" s="8">
        <v>41950</v>
      </c>
      <c r="L7" s="8">
        <v>44328</v>
      </c>
      <c r="M7" s="8">
        <v>47812.730769230766</v>
      </c>
      <c r="N7" s="8">
        <v>51498.111111111117</v>
      </c>
    </row>
    <row r="8" spans="1:14" x14ac:dyDescent="0.25">
      <c r="A8" s="6" t="s">
        <v>1155</v>
      </c>
      <c r="B8" s="7" t="s">
        <v>15</v>
      </c>
      <c r="C8" s="7" t="s">
        <v>16</v>
      </c>
      <c r="D8" s="7"/>
      <c r="E8" s="8">
        <v>7.3</v>
      </c>
      <c r="F8" s="8">
        <v>7.7</v>
      </c>
      <c r="G8" s="8">
        <v>9.8000000000000007</v>
      </c>
      <c r="H8" s="8">
        <v>22.9</v>
      </c>
      <c r="I8" s="8">
        <v>6.4</v>
      </c>
      <c r="J8" s="8">
        <v>-6.2</v>
      </c>
      <c r="K8" s="8">
        <v>7.1</v>
      </c>
      <c r="L8" s="8">
        <v>5.5</v>
      </c>
      <c r="M8" s="8">
        <v>6.8330072497860339</v>
      </c>
      <c r="N8" s="8">
        <v>7.3823841708106999</v>
      </c>
    </row>
    <row r="9" spans="1:14" x14ac:dyDescent="0.25">
      <c r="A9" s="6" t="s">
        <v>1271</v>
      </c>
      <c r="B9" s="7" t="s">
        <v>1219</v>
      </c>
      <c r="C9" s="7" t="s">
        <v>1218</v>
      </c>
      <c r="D9" s="7"/>
      <c r="E9" s="8" t="s">
        <v>1483</v>
      </c>
      <c r="F9" s="8" t="s">
        <v>1483</v>
      </c>
      <c r="G9" s="8">
        <v>9.8000000000000007</v>
      </c>
      <c r="H9" s="8">
        <v>13.7</v>
      </c>
      <c r="I9" s="8">
        <v>7.4</v>
      </c>
      <c r="J9" s="8">
        <v>11.7</v>
      </c>
      <c r="K9" s="8">
        <v>9.6</v>
      </c>
      <c r="L9" s="8">
        <v>6.7</v>
      </c>
      <c r="M9" s="8">
        <v>7.3834133348623663</v>
      </c>
      <c r="N9" s="8">
        <v>7.7224184155425633</v>
      </c>
    </row>
    <row r="10" spans="1:14" x14ac:dyDescent="0.25">
      <c r="A10" s="6" t="s">
        <v>17</v>
      </c>
      <c r="B10" s="7"/>
      <c r="C10" s="7"/>
      <c r="D10" s="7"/>
      <c r="E10" s="8"/>
      <c r="F10" s="8"/>
      <c r="G10" s="8"/>
      <c r="H10" s="8"/>
      <c r="I10" s="8"/>
      <c r="J10" s="8"/>
      <c r="K10" s="8"/>
      <c r="L10" s="8"/>
      <c r="M10" s="8"/>
      <c r="N10" s="8"/>
    </row>
    <row r="11" spans="1:14" x14ac:dyDescent="0.25">
      <c r="A11" s="6" t="s">
        <v>1051</v>
      </c>
      <c r="B11" s="7"/>
      <c r="C11" s="7"/>
      <c r="D11" s="7"/>
      <c r="E11" s="8"/>
      <c r="F11" s="8"/>
      <c r="G11" s="8"/>
      <c r="H11" s="8"/>
      <c r="I11" s="8"/>
      <c r="J11" s="8"/>
      <c r="K11" s="8"/>
      <c r="L11" s="8"/>
      <c r="M11" s="8"/>
      <c r="N11" s="8"/>
    </row>
    <row r="12" spans="1:14" x14ac:dyDescent="0.25">
      <c r="A12" s="6" t="s">
        <v>1266</v>
      </c>
      <c r="B12" s="7" t="s">
        <v>20</v>
      </c>
      <c r="C12" s="7" t="s">
        <v>21</v>
      </c>
      <c r="D12" s="7" t="s">
        <v>1252</v>
      </c>
      <c r="E12" s="8">
        <v>7229</v>
      </c>
      <c r="F12" s="8">
        <v>7409</v>
      </c>
      <c r="G12" s="8">
        <v>7647</v>
      </c>
      <c r="H12" s="8">
        <v>8294</v>
      </c>
      <c r="I12" s="8">
        <v>7459</v>
      </c>
      <c r="J12" s="8">
        <v>8154</v>
      </c>
      <c r="K12" s="8">
        <v>8413</v>
      </c>
      <c r="L12" s="8">
        <v>8451</v>
      </c>
      <c r="M12" s="8">
        <v>8555.6584963342157</v>
      </c>
      <c r="N12" s="8">
        <v>8833.477733517695</v>
      </c>
    </row>
    <row r="13" spans="1:14" x14ac:dyDescent="0.25">
      <c r="A13" s="6" t="s">
        <v>1264</v>
      </c>
      <c r="B13" s="7" t="s">
        <v>20</v>
      </c>
      <c r="C13" s="7" t="s">
        <v>21</v>
      </c>
      <c r="D13" s="7" t="s">
        <v>1227</v>
      </c>
      <c r="E13" s="8">
        <v>7495</v>
      </c>
      <c r="F13" s="8">
        <v>7713</v>
      </c>
      <c r="G13" s="8">
        <v>10805</v>
      </c>
      <c r="H13" s="8">
        <v>15526</v>
      </c>
      <c r="I13" s="8">
        <v>16469</v>
      </c>
      <c r="J13" s="8">
        <v>9988</v>
      </c>
      <c r="K13" s="8">
        <v>9341</v>
      </c>
      <c r="L13" s="8">
        <v>8937</v>
      </c>
      <c r="M13" s="8">
        <v>9468.1579463254766</v>
      </c>
      <c r="N13" s="8">
        <v>10039.395408326551</v>
      </c>
    </row>
    <row r="14" spans="1:14" x14ac:dyDescent="0.25">
      <c r="A14" s="6" t="s">
        <v>1270</v>
      </c>
      <c r="B14" s="7" t="s">
        <v>1191</v>
      </c>
      <c r="C14" s="7" t="s">
        <v>1190</v>
      </c>
      <c r="D14" s="7" t="s">
        <v>1262</v>
      </c>
      <c r="E14" s="8" t="s">
        <v>1483</v>
      </c>
      <c r="F14" s="8" t="s">
        <v>1483</v>
      </c>
      <c r="G14" s="8" t="s">
        <v>1483</v>
      </c>
      <c r="H14" s="8">
        <v>8368</v>
      </c>
      <c r="I14" s="8">
        <v>8368</v>
      </c>
      <c r="J14" s="8">
        <v>1586</v>
      </c>
      <c r="K14" s="8">
        <v>747</v>
      </c>
      <c r="L14" s="8">
        <v>297</v>
      </c>
      <c r="M14" s="8">
        <v>241.74828783985799</v>
      </c>
      <c r="N14" s="8">
        <v>212.61593575061627</v>
      </c>
    </row>
    <row r="15" spans="1:14" x14ac:dyDescent="0.25">
      <c r="A15" s="6" t="s">
        <v>1256</v>
      </c>
      <c r="B15" s="7" t="s">
        <v>20</v>
      </c>
      <c r="C15" s="7" t="s">
        <v>21</v>
      </c>
      <c r="D15" s="7" t="s">
        <v>1195</v>
      </c>
      <c r="E15" s="8">
        <v>4422</v>
      </c>
      <c r="F15" s="8">
        <v>4486</v>
      </c>
      <c r="G15" s="8">
        <v>4303</v>
      </c>
      <c r="H15" s="8">
        <v>4718</v>
      </c>
      <c r="I15" s="8">
        <v>4912</v>
      </c>
      <c r="J15" s="8">
        <v>5066</v>
      </c>
      <c r="K15" s="8">
        <v>5194</v>
      </c>
      <c r="L15" s="8">
        <v>5536</v>
      </c>
      <c r="M15" s="8">
        <v>6037.1040742625009</v>
      </c>
      <c r="N15" s="8">
        <v>6467.8136559083396</v>
      </c>
    </row>
    <row r="16" spans="1:14" x14ac:dyDescent="0.25">
      <c r="A16" s="6" t="s">
        <v>1246</v>
      </c>
      <c r="B16" s="7" t="s">
        <v>20</v>
      </c>
      <c r="C16" s="7" t="s">
        <v>21</v>
      </c>
      <c r="D16" s="7" t="s">
        <v>1245</v>
      </c>
      <c r="E16" s="8">
        <v>11370</v>
      </c>
      <c r="F16" s="8">
        <v>12239</v>
      </c>
      <c r="G16" s="8">
        <v>11787</v>
      </c>
      <c r="H16" s="8">
        <v>14485</v>
      </c>
      <c r="I16" s="8">
        <v>14802</v>
      </c>
      <c r="J16" s="8">
        <v>16887</v>
      </c>
      <c r="K16" s="8">
        <v>18986</v>
      </c>
      <c r="L16" s="8">
        <v>21387</v>
      </c>
      <c r="M16" s="8">
        <v>23811.166877871539</v>
      </c>
      <c r="N16" s="8">
        <v>26181.095413564304</v>
      </c>
    </row>
    <row r="17" spans="1:14" x14ac:dyDescent="0.25">
      <c r="A17" s="6" t="s">
        <v>1269</v>
      </c>
      <c r="B17" s="7" t="s">
        <v>20</v>
      </c>
      <c r="C17" s="7" t="s">
        <v>21</v>
      </c>
      <c r="D17" s="7" t="s">
        <v>1232</v>
      </c>
      <c r="E17" s="8">
        <v>1933</v>
      </c>
      <c r="F17" s="8">
        <v>2524</v>
      </c>
      <c r="G17" s="8">
        <v>3267</v>
      </c>
      <c r="H17" s="8">
        <v>4328</v>
      </c>
      <c r="I17" s="8">
        <v>4756</v>
      </c>
      <c r="J17" s="8">
        <v>5761</v>
      </c>
      <c r="K17" s="8">
        <v>6805</v>
      </c>
      <c r="L17" s="8">
        <v>7998</v>
      </c>
      <c r="M17" s="8">
        <v>9138.6045840411389</v>
      </c>
      <c r="N17" s="8">
        <v>10322.370068382279</v>
      </c>
    </row>
    <row r="18" spans="1:14" x14ac:dyDescent="0.25">
      <c r="A18" s="6" t="s">
        <v>17</v>
      </c>
      <c r="B18" s="7"/>
      <c r="C18" s="7"/>
      <c r="D18" s="7"/>
      <c r="E18" s="8"/>
      <c r="F18" s="8"/>
      <c r="G18" s="8"/>
      <c r="H18" s="8"/>
      <c r="I18" s="8"/>
      <c r="J18" s="8"/>
      <c r="K18" s="8"/>
      <c r="L18" s="8"/>
      <c r="M18" s="8"/>
      <c r="N18" s="8"/>
    </row>
    <row r="19" spans="1:14" x14ac:dyDescent="0.25">
      <c r="A19" s="6" t="s">
        <v>46</v>
      </c>
      <c r="B19" s="7" t="s">
        <v>47</v>
      </c>
      <c r="C19" s="7" t="s">
        <v>48</v>
      </c>
      <c r="D19" s="7"/>
      <c r="E19" s="8">
        <v>59.3</v>
      </c>
      <c r="F19" s="8">
        <v>59.2</v>
      </c>
      <c r="G19" s="8">
        <v>57.6</v>
      </c>
      <c r="H19" s="8">
        <v>57.961694999999999</v>
      </c>
      <c r="I19" s="8">
        <v>56.923923000000002</v>
      </c>
      <c r="J19" s="8">
        <v>55.541150000000002</v>
      </c>
      <c r="K19" s="8">
        <v>56.207389999999997</v>
      </c>
      <c r="L19" s="8">
        <v>56.738405</v>
      </c>
      <c r="M19" s="8">
        <v>56.971138010947783</v>
      </c>
      <c r="N19" s="8">
        <v>57.376932268058333</v>
      </c>
    </row>
    <row r="20" spans="1:14" x14ac:dyDescent="0.25">
      <c r="A20" s="6" t="s">
        <v>49</v>
      </c>
      <c r="B20" s="7" t="s">
        <v>626</v>
      </c>
      <c r="C20" s="7" t="s">
        <v>625</v>
      </c>
      <c r="D20" s="7"/>
      <c r="E20" s="8">
        <v>21.436980835895088</v>
      </c>
      <c r="F20" s="8">
        <v>22.285606820461386</v>
      </c>
      <c r="G20" s="8">
        <v>23.142048081368468</v>
      </c>
      <c r="H20" s="8">
        <v>26.289030760301802</v>
      </c>
      <c r="I20" s="8">
        <v>25.727899571621656</v>
      </c>
      <c r="J20" s="8">
        <v>22.216958787304595</v>
      </c>
      <c r="K20" s="8">
        <v>22.157330154946365</v>
      </c>
      <c r="L20" s="8">
        <v>23.238133910846418</v>
      </c>
      <c r="M20" s="8">
        <v>23.802787680494703</v>
      </c>
      <c r="N20" s="8">
        <v>24.462440042916565</v>
      </c>
    </row>
    <row r="21" spans="1:14" x14ac:dyDescent="0.25">
      <c r="A21" s="6" t="s">
        <v>52</v>
      </c>
      <c r="B21" s="7" t="s">
        <v>53</v>
      </c>
      <c r="C21" s="7" t="s">
        <v>54</v>
      </c>
      <c r="D21" s="7"/>
      <c r="E21" s="8">
        <v>5131</v>
      </c>
      <c r="F21" s="8">
        <v>5810</v>
      </c>
      <c r="G21" s="8">
        <v>6552</v>
      </c>
      <c r="H21" s="8">
        <v>9367</v>
      </c>
      <c r="I21" s="8">
        <v>9466</v>
      </c>
      <c r="J21" s="8">
        <v>7802</v>
      </c>
      <c r="K21" s="8">
        <v>8200</v>
      </c>
      <c r="L21" s="8">
        <v>9040</v>
      </c>
      <c r="M21" s="8">
        <v>9928.9230769230762</v>
      </c>
      <c r="N21" s="8">
        <v>10902.153846153848</v>
      </c>
    </row>
    <row r="22" spans="1:14" x14ac:dyDescent="0.25">
      <c r="A22" s="6" t="s">
        <v>17</v>
      </c>
      <c r="B22" s="7"/>
      <c r="C22" s="7"/>
      <c r="D22" s="7"/>
      <c r="E22" s="8"/>
      <c r="F22" s="8"/>
      <c r="G22" s="8"/>
      <c r="H22" s="8"/>
      <c r="I22" s="8"/>
      <c r="J22" s="8"/>
      <c r="K22" s="8"/>
      <c r="L22" s="8"/>
      <c r="M22" s="8"/>
      <c r="N22" s="8"/>
    </row>
    <row r="23" spans="1:14" x14ac:dyDescent="0.25">
      <c r="A23" s="6" t="s">
        <v>55</v>
      </c>
      <c r="B23" s="7" t="s">
        <v>56</v>
      </c>
      <c r="C23" s="7" t="s">
        <v>57</v>
      </c>
      <c r="D23" s="7"/>
      <c r="E23" s="8">
        <v>15439</v>
      </c>
      <c r="F23" s="8">
        <v>14912</v>
      </c>
      <c r="G23" s="8">
        <v>12697</v>
      </c>
      <c r="H23" s="8">
        <v>8934</v>
      </c>
      <c r="I23" s="8">
        <v>7568</v>
      </c>
      <c r="J23" s="8">
        <v>8350</v>
      </c>
      <c r="K23" s="8">
        <v>6975</v>
      </c>
      <c r="L23" s="8">
        <v>4876</v>
      </c>
      <c r="M23" s="8">
        <v>716.28571428571399</v>
      </c>
      <c r="N23" s="8">
        <v>-4032.8571428571399</v>
      </c>
    </row>
    <row r="24" spans="1:14" x14ac:dyDescent="0.25">
      <c r="A24" s="6" t="s">
        <v>58</v>
      </c>
      <c r="B24" s="7" t="s">
        <v>59</v>
      </c>
      <c r="C24" s="7" t="s">
        <v>60</v>
      </c>
      <c r="D24" s="7"/>
      <c r="E24" s="8">
        <v>4906</v>
      </c>
      <c r="F24" s="8">
        <v>4498</v>
      </c>
      <c r="G24" s="8">
        <v>5724</v>
      </c>
      <c r="H24" s="8">
        <v>8648</v>
      </c>
      <c r="I24" s="8">
        <v>7804</v>
      </c>
      <c r="J24" s="8">
        <v>5059</v>
      </c>
      <c r="K24" s="8">
        <v>6351</v>
      </c>
      <c r="L24" s="8">
        <v>7395</v>
      </c>
      <c r="M24" s="8">
        <v>8746.5808764617177</v>
      </c>
      <c r="N24" s="8">
        <v>9550.4932435907303</v>
      </c>
    </row>
    <row r="25" spans="1:14" x14ac:dyDescent="0.25">
      <c r="A25" s="6" t="s">
        <v>17</v>
      </c>
      <c r="B25" s="7"/>
      <c r="C25" s="7"/>
      <c r="D25" s="7"/>
      <c r="E25" s="8"/>
      <c r="F25" s="8"/>
      <c r="G25" s="8"/>
      <c r="H25" s="8"/>
      <c r="I25" s="8"/>
      <c r="J25" s="8"/>
      <c r="K25" s="8"/>
      <c r="L25" s="8"/>
      <c r="M25" s="8"/>
      <c r="N25" s="8"/>
    </row>
    <row r="26" spans="1:14" x14ac:dyDescent="0.25">
      <c r="A26" s="6" t="s">
        <v>61</v>
      </c>
      <c r="B26" s="7"/>
      <c r="C26" s="7"/>
      <c r="D26" s="7"/>
      <c r="E26" s="8"/>
      <c r="F26" s="8"/>
      <c r="G26" s="8"/>
      <c r="H26" s="8"/>
      <c r="I26" s="8"/>
      <c r="J26" s="8"/>
      <c r="K26" s="8"/>
      <c r="L26" s="8"/>
      <c r="M26" s="8"/>
      <c r="N26" s="8"/>
    </row>
    <row r="27" spans="1:14" x14ac:dyDescent="0.25">
      <c r="A27" s="6" t="s">
        <v>1268</v>
      </c>
      <c r="B27" s="7"/>
      <c r="C27" s="7"/>
      <c r="D27" s="7"/>
      <c r="E27" s="8"/>
      <c r="F27" s="8"/>
      <c r="G27" s="8"/>
      <c r="H27" s="8"/>
      <c r="I27" s="8"/>
      <c r="J27" s="8"/>
      <c r="K27" s="8"/>
      <c r="L27" s="8"/>
      <c r="M27" s="8"/>
      <c r="N27" s="8"/>
    </row>
    <row r="28" spans="1:14" x14ac:dyDescent="0.25">
      <c r="A28" s="6" t="s">
        <v>1256</v>
      </c>
      <c r="B28" s="7" t="s">
        <v>139</v>
      </c>
      <c r="C28" s="7" t="s">
        <v>140</v>
      </c>
      <c r="D28" s="7" t="s">
        <v>1195</v>
      </c>
      <c r="E28" s="8">
        <v>-3.8</v>
      </c>
      <c r="F28" s="8">
        <v>-3.8000000000000003</v>
      </c>
      <c r="G28" s="8">
        <v>-6</v>
      </c>
      <c r="H28" s="8">
        <v>-0.8</v>
      </c>
      <c r="I28" s="8">
        <v>-6.5</v>
      </c>
      <c r="J28" s="8">
        <v>-7.8</v>
      </c>
      <c r="K28" s="8">
        <v>-6.7</v>
      </c>
      <c r="L28" s="8">
        <v>-0.8</v>
      </c>
      <c r="M28" s="8">
        <v>3.2555480445430733</v>
      </c>
      <c r="N28" s="8">
        <v>0</v>
      </c>
    </row>
    <row r="29" spans="1:14" x14ac:dyDescent="0.25">
      <c r="A29" s="6" t="s">
        <v>1255</v>
      </c>
      <c r="B29" s="7" t="s">
        <v>139</v>
      </c>
      <c r="C29" s="7" t="s">
        <v>140</v>
      </c>
      <c r="D29" s="7" t="s">
        <v>1193</v>
      </c>
      <c r="E29" s="8">
        <v>-5</v>
      </c>
      <c r="F29" s="8">
        <v>-5</v>
      </c>
      <c r="G29" s="8">
        <v>-8</v>
      </c>
      <c r="H29" s="8">
        <v>-2</v>
      </c>
      <c r="I29" s="8">
        <v>-7</v>
      </c>
      <c r="J29" s="8">
        <v>-9.1999999999999993</v>
      </c>
      <c r="K29" s="8">
        <v>-8.1999999999999993</v>
      </c>
      <c r="L29" s="8">
        <v>-1.5</v>
      </c>
      <c r="M29" s="8">
        <v>1.7792998991571125</v>
      </c>
      <c r="N29" s="8" t="s">
        <v>1483</v>
      </c>
    </row>
    <row r="30" spans="1:14" x14ac:dyDescent="0.25">
      <c r="A30" s="6" t="s">
        <v>1267</v>
      </c>
      <c r="B30" s="7" t="s">
        <v>139</v>
      </c>
      <c r="C30" s="7" t="s">
        <v>140</v>
      </c>
      <c r="D30" s="7" t="s">
        <v>1189</v>
      </c>
      <c r="E30" s="8">
        <v>2</v>
      </c>
      <c r="F30" s="8">
        <v>2</v>
      </c>
      <c r="G30" s="8">
        <v>1</v>
      </c>
      <c r="H30" s="8">
        <v>2</v>
      </c>
      <c r="I30" s="8">
        <v>-7</v>
      </c>
      <c r="J30" s="8">
        <v>-3</v>
      </c>
      <c r="K30" s="8">
        <v>-2.2999999999999998</v>
      </c>
      <c r="L30" s="8">
        <v>1.1000000000000001</v>
      </c>
      <c r="M30" s="8">
        <v>1.3099643122531521</v>
      </c>
      <c r="N30" s="8" t="s">
        <v>1483</v>
      </c>
    </row>
    <row r="31" spans="1:14" x14ac:dyDescent="0.25">
      <c r="A31" s="6" t="s">
        <v>1266</v>
      </c>
      <c r="B31" s="7" t="s">
        <v>139</v>
      </c>
      <c r="C31" s="7" t="s">
        <v>140</v>
      </c>
      <c r="D31" s="7" t="s">
        <v>1252</v>
      </c>
      <c r="E31" s="8">
        <v>-0.5</v>
      </c>
      <c r="F31" s="8">
        <v>-0.5</v>
      </c>
      <c r="G31" s="8">
        <v>-1.5</v>
      </c>
      <c r="H31" s="8">
        <v>0.8</v>
      </c>
      <c r="I31" s="8">
        <v>-3.9</v>
      </c>
      <c r="J31" s="8">
        <v>-2.2999999999999998</v>
      </c>
      <c r="K31" s="8">
        <v>-2.7</v>
      </c>
      <c r="L31" s="8">
        <v>-0.7</v>
      </c>
      <c r="M31" s="8">
        <v>0.9305103495761885</v>
      </c>
      <c r="N31" s="8" t="s">
        <v>1483</v>
      </c>
    </row>
    <row r="32" spans="1:14" x14ac:dyDescent="0.25">
      <c r="A32" s="6" t="s">
        <v>1264</v>
      </c>
      <c r="B32" s="7" t="s">
        <v>139</v>
      </c>
      <c r="C32" s="7" t="s">
        <v>140</v>
      </c>
      <c r="D32" s="7" t="s">
        <v>1227</v>
      </c>
      <c r="E32" s="8">
        <v>-0.1</v>
      </c>
      <c r="F32" s="8">
        <v>-0.1</v>
      </c>
      <c r="G32" s="8">
        <v>-0.5</v>
      </c>
      <c r="H32" s="8">
        <v>2.1</v>
      </c>
      <c r="I32" s="8">
        <v>-4.4000000000000004</v>
      </c>
      <c r="J32" s="8">
        <v>-1.2</v>
      </c>
      <c r="K32" s="8">
        <v>-2.6</v>
      </c>
      <c r="L32" s="8">
        <v>0.2</v>
      </c>
      <c r="M32" s="8">
        <v>1.0734913209183954</v>
      </c>
      <c r="N32" s="8">
        <v>0</v>
      </c>
    </row>
    <row r="33" spans="1:14" x14ac:dyDescent="0.25">
      <c r="A33" s="6" t="s">
        <v>1246</v>
      </c>
      <c r="B33" s="7" t="s">
        <v>139</v>
      </c>
      <c r="C33" s="7" t="s">
        <v>140</v>
      </c>
      <c r="D33" s="7" t="s">
        <v>1265</v>
      </c>
      <c r="E33" s="8" t="s">
        <v>1483</v>
      </c>
      <c r="F33" s="8">
        <v>-2.9</v>
      </c>
      <c r="G33" s="8">
        <v>0.1</v>
      </c>
      <c r="H33" s="8">
        <v>2.5</v>
      </c>
      <c r="I33" s="8">
        <v>-5.9</v>
      </c>
      <c r="J33" s="8">
        <v>-1</v>
      </c>
      <c r="K33" s="8">
        <v>-1.3</v>
      </c>
      <c r="L33" s="8">
        <v>0.7</v>
      </c>
      <c r="M33" s="8">
        <v>0.98455046469572172</v>
      </c>
      <c r="N33" s="8">
        <v>0</v>
      </c>
    </row>
    <row r="34" spans="1:14" x14ac:dyDescent="0.25">
      <c r="A34" s="6" t="s">
        <v>1244</v>
      </c>
      <c r="B34" s="7" t="s">
        <v>139</v>
      </c>
      <c r="C34" s="7" t="s">
        <v>140</v>
      </c>
      <c r="D34" s="7" t="s">
        <v>1243</v>
      </c>
      <c r="E34" s="8">
        <v>1</v>
      </c>
      <c r="F34" s="8">
        <v>1</v>
      </c>
      <c r="G34" s="8">
        <v>0</v>
      </c>
      <c r="H34" s="8">
        <v>2</v>
      </c>
      <c r="I34" s="8">
        <v>-6</v>
      </c>
      <c r="J34" s="8">
        <v>-1</v>
      </c>
      <c r="K34" s="8">
        <v>-0.9</v>
      </c>
      <c r="L34" s="8">
        <v>0.7</v>
      </c>
      <c r="M34" s="8">
        <v>0.91293561640715637</v>
      </c>
      <c r="N34" s="8" t="s">
        <v>1483</v>
      </c>
    </row>
    <row r="35" spans="1:14" x14ac:dyDescent="0.25">
      <c r="A35" s="6" t="s">
        <v>1242</v>
      </c>
      <c r="B35" s="7" t="s">
        <v>139</v>
      </c>
      <c r="C35" s="7" t="s">
        <v>140</v>
      </c>
      <c r="D35" s="7" t="s">
        <v>1241</v>
      </c>
      <c r="E35" s="8">
        <v>1</v>
      </c>
      <c r="F35" s="8">
        <v>1</v>
      </c>
      <c r="G35" s="8">
        <v>1</v>
      </c>
      <c r="H35" s="8">
        <v>2</v>
      </c>
      <c r="I35" s="8">
        <v>-6</v>
      </c>
      <c r="J35" s="8">
        <v>-2</v>
      </c>
      <c r="K35" s="8">
        <v>-2.1</v>
      </c>
      <c r="L35" s="8">
        <v>0.4</v>
      </c>
      <c r="M35" s="8">
        <v>0.90874223443761848</v>
      </c>
      <c r="N35" s="8" t="s">
        <v>1483</v>
      </c>
    </row>
    <row r="36" spans="1:14" x14ac:dyDescent="0.25">
      <c r="A36" s="6" t="s">
        <v>1240</v>
      </c>
      <c r="B36" s="7" t="s">
        <v>139</v>
      </c>
      <c r="C36" s="7" t="s">
        <v>140</v>
      </c>
      <c r="D36" s="7" t="s">
        <v>1239</v>
      </c>
      <c r="E36" s="8">
        <v>0</v>
      </c>
      <c r="F36" s="8">
        <v>0</v>
      </c>
      <c r="G36" s="8">
        <v>0</v>
      </c>
      <c r="H36" s="8">
        <v>1</v>
      </c>
      <c r="I36" s="8">
        <v>-2</v>
      </c>
      <c r="J36" s="8">
        <v>0.1</v>
      </c>
      <c r="K36" s="8">
        <v>-0.1</v>
      </c>
      <c r="L36" s="8">
        <v>0.5</v>
      </c>
      <c r="M36" s="8">
        <v>1.0849499482222988</v>
      </c>
      <c r="N36" s="8" t="s">
        <v>1483</v>
      </c>
    </row>
    <row r="37" spans="1:14" x14ac:dyDescent="0.25">
      <c r="A37" s="6" t="s">
        <v>108</v>
      </c>
      <c r="B37" s="7" t="s">
        <v>139</v>
      </c>
      <c r="C37" s="7" t="s">
        <v>140</v>
      </c>
      <c r="D37" s="7" t="s">
        <v>1238</v>
      </c>
      <c r="E37" s="8">
        <v>1</v>
      </c>
      <c r="F37" s="8">
        <v>1.1000000000000001</v>
      </c>
      <c r="G37" s="8">
        <v>0</v>
      </c>
      <c r="H37" s="8">
        <v>3</v>
      </c>
      <c r="I37" s="8">
        <v>-5</v>
      </c>
      <c r="J37" s="8">
        <v>-1.3</v>
      </c>
      <c r="K37" s="8">
        <v>-0.9</v>
      </c>
      <c r="L37" s="8">
        <v>0.5</v>
      </c>
      <c r="M37" s="8">
        <v>1.0169328061034131</v>
      </c>
      <c r="N37" s="8" t="s">
        <v>1483</v>
      </c>
    </row>
    <row r="38" spans="1:14" x14ac:dyDescent="0.25">
      <c r="A38" s="6" t="s">
        <v>1237</v>
      </c>
      <c r="B38" s="7" t="s">
        <v>139</v>
      </c>
      <c r="C38" s="7" t="s">
        <v>140</v>
      </c>
      <c r="D38" s="7" t="s">
        <v>1236</v>
      </c>
      <c r="E38" s="8">
        <v>1</v>
      </c>
      <c r="F38" s="8">
        <v>1</v>
      </c>
      <c r="G38" s="8">
        <v>0</v>
      </c>
      <c r="H38" s="8">
        <v>2</v>
      </c>
      <c r="I38" s="8">
        <v>-7</v>
      </c>
      <c r="J38" s="8">
        <v>-0.7</v>
      </c>
      <c r="K38" s="8">
        <v>-1.5</v>
      </c>
      <c r="L38" s="8">
        <v>0.8</v>
      </c>
      <c r="M38" s="8">
        <v>0.91061292894639179</v>
      </c>
      <c r="N38" s="8" t="s">
        <v>1483</v>
      </c>
    </row>
    <row r="39" spans="1:14" x14ac:dyDescent="0.25">
      <c r="A39" s="6" t="s">
        <v>1233</v>
      </c>
      <c r="B39" s="7" t="s">
        <v>139</v>
      </c>
      <c r="C39" s="7" t="s">
        <v>140</v>
      </c>
      <c r="D39" s="7" t="s">
        <v>1232</v>
      </c>
      <c r="E39" s="8" t="s">
        <v>1483</v>
      </c>
      <c r="F39" s="8">
        <v>2</v>
      </c>
      <c r="G39" s="8">
        <v>0</v>
      </c>
      <c r="H39" s="8">
        <v>4</v>
      </c>
      <c r="I39" s="8">
        <v>-7</v>
      </c>
      <c r="J39" s="8">
        <v>-0.8</v>
      </c>
      <c r="K39" s="8">
        <v>-1.6</v>
      </c>
      <c r="L39" s="8">
        <v>1.2</v>
      </c>
      <c r="M39" s="8">
        <v>0.99748095391245251</v>
      </c>
      <c r="N39" s="8" t="s">
        <v>1483</v>
      </c>
    </row>
    <row r="40" spans="1:14" x14ac:dyDescent="0.25">
      <c r="A40" s="6" t="s">
        <v>17</v>
      </c>
      <c r="B40" s="7"/>
      <c r="C40" s="7"/>
      <c r="D40" s="7"/>
      <c r="E40" s="8"/>
      <c r="F40" s="8"/>
      <c r="G40" s="8"/>
      <c r="H40" s="8"/>
      <c r="I40" s="8"/>
      <c r="J40" s="8"/>
      <c r="K40" s="8"/>
      <c r="L40" s="8"/>
      <c r="M40" s="8"/>
      <c r="N40" s="8"/>
    </row>
    <row r="41" spans="1:14" x14ac:dyDescent="0.25">
      <c r="A41" s="6" t="s">
        <v>73</v>
      </c>
      <c r="B41" s="7"/>
      <c r="C41" s="7"/>
      <c r="D41" s="7"/>
      <c r="E41" s="8"/>
      <c r="F41" s="8"/>
      <c r="G41" s="8"/>
      <c r="H41" s="8"/>
      <c r="I41" s="8"/>
      <c r="J41" s="8"/>
      <c r="K41" s="8"/>
      <c r="L41" s="8"/>
      <c r="M41" s="8"/>
      <c r="N41" s="8"/>
    </row>
    <row r="42" spans="1:14" x14ac:dyDescent="0.25">
      <c r="A42" s="6" t="s">
        <v>11</v>
      </c>
      <c r="B42" s="7"/>
      <c r="C42" s="7"/>
      <c r="D42" s="7"/>
      <c r="E42" s="8"/>
      <c r="F42" s="8"/>
      <c r="G42" s="8"/>
      <c r="H42" s="8"/>
      <c r="I42" s="8"/>
      <c r="J42" s="8"/>
      <c r="K42" s="8"/>
      <c r="L42" s="8"/>
      <c r="M42" s="8"/>
      <c r="N42" s="8"/>
    </row>
    <row r="43" spans="1:14" x14ac:dyDescent="0.25">
      <c r="A43" s="6" t="s">
        <v>1256</v>
      </c>
      <c r="B43" s="7" t="s">
        <v>20</v>
      </c>
      <c r="C43" s="7" t="s">
        <v>21</v>
      </c>
      <c r="D43" s="7" t="s">
        <v>1195</v>
      </c>
      <c r="E43" s="8">
        <v>4422</v>
      </c>
      <c r="F43" s="8">
        <v>4486</v>
      </c>
      <c r="G43" s="8">
        <v>4303</v>
      </c>
      <c r="H43" s="8">
        <v>4718</v>
      </c>
      <c r="I43" s="8">
        <v>4912</v>
      </c>
      <c r="J43" s="8">
        <v>5066</v>
      </c>
      <c r="K43" s="8">
        <v>5194</v>
      </c>
      <c r="L43" s="8">
        <v>5536</v>
      </c>
      <c r="M43" s="8">
        <v>6037.1040742625009</v>
      </c>
      <c r="N43" s="8">
        <v>6467.8136559083396</v>
      </c>
    </row>
    <row r="44" spans="1:14" x14ac:dyDescent="0.25">
      <c r="A44" s="6" t="s">
        <v>1255</v>
      </c>
      <c r="B44" s="7" t="s">
        <v>20</v>
      </c>
      <c r="C44" s="7" t="s">
        <v>21</v>
      </c>
      <c r="D44" s="7" t="s">
        <v>1193</v>
      </c>
      <c r="E44" s="8">
        <v>3363</v>
      </c>
      <c r="F44" s="8">
        <v>3392</v>
      </c>
      <c r="G44" s="8">
        <v>3209</v>
      </c>
      <c r="H44" s="8">
        <v>3565</v>
      </c>
      <c r="I44" s="8">
        <v>3766</v>
      </c>
      <c r="J44" s="8">
        <v>3807</v>
      </c>
      <c r="K44" s="8">
        <v>3858</v>
      </c>
      <c r="L44" s="8">
        <v>4167</v>
      </c>
      <c r="M44" s="8">
        <v>4581.5344528420246</v>
      </c>
      <c r="N44" s="8">
        <v>4927.9758297511844</v>
      </c>
    </row>
    <row r="45" spans="1:14" x14ac:dyDescent="0.25">
      <c r="A45" s="6" t="s">
        <v>1254</v>
      </c>
      <c r="B45" s="7" t="s">
        <v>1191</v>
      </c>
      <c r="C45" s="7" t="s">
        <v>1190</v>
      </c>
      <c r="D45" s="7" t="s">
        <v>1189</v>
      </c>
      <c r="E45" s="8">
        <v>1059</v>
      </c>
      <c r="F45" s="8">
        <v>1094</v>
      </c>
      <c r="G45" s="8">
        <v>1094</v>
      </c>
      <c r="H45" s="8">
        <v>1179</v>
      </c>
      <c r="I45" s="8">
        <v>1184</v>
      </c>
      <c r="J45" s="8">
        <v>1259</v>
      </c>
      <c r="K45" s="8">
        <v>1336</v>
      </c>
      <c r="L45" s="8">
        <v>1369</v>
      </c>
      <c r="M45" s="8">
        <v>1462.9223358772369</v>
      </c>
      <c r="N45" s="8">
        <v>1548.9445801828551</v>
      </c>
    </row>
    <row r="46" spans="1:14" x14ac:dyDescent="0.25">
      <c r="A46" s="6" t="s">
        <v>1253</v>
      </c>
      <c r="B46" s="7" t="s">
        <v>20</v>
      </c>
      <c r="C46" s="7" t="s">
        <v>21</v>
      </c>
      <c r="D46" s="7" t="s">
        <v>1252</v>
      </c>
      <c r="E46" s="8">
        <v>7229</v>
      </c>
      <c r="F46" s="8">
        <v>7409</v>
      </c>
      <c r="G46" s="8">
        <v>7647</v>
      </c>
      <c r="H46" s="8">
        <v>8294</v>
      </c>
      <c r="I46" s="8">
        <v>7459</v>
      </c>
      <c r="J46" s="8">
        <v>8154</v>
      </c>
      <c r="K46" s="8">
        <v>8413</v>
      </c>
      <c r="L46" s="8">
        <v>8451</v>
      </c>
      <c r="M46" s="8">
        <v>8555.6584963342157</v>
      </c>
      <c r="N46" s="8">
        <v>8833.477733517695</v>
      </c>
    </row>
    <row r="47" spans="1:14" x14ac:dyDescent="0.25">
      <c r="A47" s="6" t="s">
        <v>1251</v>
      </c>
      <c r="B47" s="7" t="s">
        <v>20</v>
      </c>
      <c r="C47" s="7" t="s">
        <v>21</v>
      </c>
      <c r="D47" s="7" t="s">
        <v>1250</v>
      </c>
      <c r="E47" s="8">
        <v>4097</v>
      </c>
      <c r="F47" s="8">
        <v>4161</v>
      </c>
      <c r="G47" s="8">
        <v>4127</v>
      </c>
      <c r="H47" s="8">
        <v>4298</v>
      </c>
      <c r="I47" s="8">
        <v>3481</v>
      </c>
      <c r="J47" s="8">
        <v>3934</v>
      </c>
      <c r="K47" s="8">
        <v>4023</v>
      </c>
      <c r="L47" s="8">
        <v>3974</v>
      </c>
      <c r="M47" s="8">
        <v>3989.0665298471604</v>
      </c>
      <c r="N47" s="8">
        <v>4105.7099206469866</v>
      </c>
    </row>
    <row r="48" spans="1:14" x14ac:dyDescent="0.25">
      <c r="A48" s="6" t="s">
        <v>1249</v>
      </c>
      <c r="B48" s="7" t="s">
        <v>20</v>
      </c>
      <c r="C48" s="7" t="s">
        <v>21</v>
      </c>
      <c r="D48" s="7" t="s">
        <v>1248</v>
      </c>
      <c r="E48" s="8">
        <v>3132</v>
      </c>
      <c r="F48" s="8">
        <v>3248</v>
      </c>
      <c r="G48" s="8">
        <v>3520</v>
      </c>
      <c r="H48" s="8">
        <v>3996</v>
      </c>
      <c r="I48" s="8">
        <v>3978</v>
      </c>
      <c r="J48" s="8">
        <v>4220</v>
      </c>
      <c r="K48" s="8">
        <v>4390</v>
      </c>
      <c r="L48" s="8">
        <v>4477</v>
      </c>
      <c r="M48" s="8">
        <v>4571.7592044657949</v>
      </c>
      <c r="N48" s="8">
        <v>4725.3015369670147</v>
      </c>
    </row>
    <row r="49" spans="1:14" x14ac:dyDescent="0.25">
      <c r="A49" s="6" t="s">
        <v>1264</v>
      </c>
      <c r="B49" s="7" t="s">
        <v>20</v>
      </c>
      <c r="C49" s="7" t="s">
        <v>21</v>
      </c>
      <c r="D49" s="7" t="s">
        <v>1227</v>
      </c>
      <c r="E49" s="8">
        <v>7495</v>
      </c>
      <c r="F49" s="8">
        <v>7713</v>
      </c>
      <c r="G49" s="8">
        <v>10805</v>
      </c>
      <c r="H49" s="8">
        <v>15526</v>
      </c>
      <c r="I49" s="8">
        <v>16469</v>
      </c>
      <c r="J49" s="8">
        <v>9988</v>
      </c>
      <c r="K49" s="8">
        <v>9341</v>
      </c>
      <c r="L49" s="8">
        <v>8937</v>
      </c>
      <c r="M49" s="8">
        <v>9468.1579463254766</v>
      </c>
      <c r="N49" s="8">
        <v>10039.395408326551</v>
      </c>
    </row>
    <row r="50" spans="1:14" x14ac:dyDescent="0.25">
      <c r="A50" s="6" t="s">
        <v>1226</v>
      </c>
      <c r="B50" s="7" t="s">
        <v>20</v>
      </c>
      <c r="C50" s="7" t="s">
        <v>21</v>
      </c>
      <c r="D50" s="7" t="s">
        <v>1225</v>
      </c>
      <c r="E50" s="8">
        <v>4386</v>
      </c>
      <c r="F50" s="8">
        <v>4656</v>
      </c>
      <c r="G50" s="8">
        <v>4475</v>
      </c>
      <c r="H50" s="8">
        <v>5128</v>
      </c>
      <c r="I50" s="8">
        <v>4888</v>
      </c>
      <c r="J50" s="8">
        <v>5159</v>
      </c>
      <c r="K50" s="8">
        <v>5235</v>
      </c>
      <c r="L50" s="8">
        <v>5360</v>
      </c>
      <c r="M50" s="8">
        <v>5671.0201031737843</v>
      </c>
      <c r="N50" s="8">
        <v>5971.25490502497</v>
      </c>
    </row>
    <row r="51" spans="1:14" x14ac:dyDescent="0.25">
      <c r="A51" s="6" t="s">
        <v>1224</v>
      </c>
      <c r="B51" s="7" t="s">
        <v>20</v>
      </c>
      <c r="C51" s="7" t="s">
        <v>21</v>
      </c>
      <c r="D51" s="7" t="s">
        <v>1223</v>
      </c>
      <c r="E51" s="8">
        <v>484</v>
      </c>
      <c r="F51" s="8">
        <v>442</v>
      </c>
      <c r="G51" s="8">
        <v>1438</v>
      </c>
      <c r="H51" s="8">
        <v>1427</v>
      </c>
      <c r="I51" s="8">
        <v>995</v>
      </c>
      <c r="J51" s="8">
        <v>574</v>
      </c>
      <c r="K51" s="8">
        <v>521</v>
      </c>
      <c r="L51" s="8">
        <v>517</v>
      </c>
      <c r="M51" s="8">
        <v>596.77606332516041</v>
      </c>
      <c r="N51" s="8">
        <v>899.626755373381</v>
      </c>
    </row>
    <row r="52" spans="1:14" x14ac:dyDescent="0.25">
      <c r="A52" s="6" t="s">
        <v>1222</v>
      </c>
      <c r="B52" s="7" t="s">
        <v>20</v>
      </c>
      <c r="C52" s="7" t="s">
        <v>21</v>
      </c>
      <c r="D52" s="7" t="s">
        <v>1221</v>
      </c>
      <c r="E52" s="8">
        <v>553</v>
      </c>
      <c r="F52" s="8">
        <v>561</v>
      </c>
      <c r="G52" s="8">
        <v>516</v>
      </c>
      <c r="H52" s="8">
        <v>536</v>
      </c>
      <c r="I52" s="8">
        <v>525</v>
      </c>
      <c r="J52" s="8">
        <v>565</v>
      </c>
      <c r="K52" s="8">
        <v>588</v>
      </c>
      <c r="L52" s="8">
        <v>606</v>
      </c>
      <c r="M52" s="8">
        <v>649.69334773405467</v>
      </c>
      <c r="N52" s="8">
        <v>681.94983649210985</v>
      </c>
    </row>
    <row r="53" spans="1:14" x14ac:dyDescent="0.25">
      <c r="A53" s="6" t="s">
        <v>1220</v>
      </c>
      <c r="B53" s="7" t="s">
        <v>20</v>
      </c>
      <c r="C53" s="7" t="s">
        <v>21</v>
      </c>
      <c r="D53" s="7" t="s">
        <v>1217</v>
      </c>
      <c r="E53" s="8">
        <v>2072</v>
      </c>
      <c r="F53" s="8">
        <v>2054</v>
      </c>
      <c r="G53" s="8">
        <v>4376</v>
      </c>
      <c r="H53" s="8">
        <v>8435</v>
      </c>
      <c r="I53" s="8">
        <v>10061</v>
      </c>
      <c r="J53" s="8">
        <v>3690</v>
      </c>
      <c r="K53" s="8">
        <v>2997</v>
      </c>
      <c r="L53" s="8">
        <v>2454</v>
      </c>
      <c r="M53" s="8">
        <v>2363.0250533168414</v>
      </c>
      <c r="N53" s="8">
        <v>2536.2749937067438</v>
      </c>
    </row>
    <row r="54" spans="1:14" x14ac:dyDescent="0.25">
      <c r="A54" s="6" t="s">
        <v>1263</v>
      </c>
      <c r="B54" s="7" t="s">
        <v>1191</v>
      </c>
      <c r="C54" s="7" t="s">
        <v>1190</v>
      </c>
      <c r="D54" s="7" t="s">
        <v>1262</v>
      </c>
      <c r="E54" s="8" t="s">
        <v>1483</v>
      </c>
      <c r="F54" s="8" t="s">
        <v>1483</v>
      </c>
      <c r="G54" s="8" t="s">
        <v>1483</v>
      </c>
      <c r="H54" s="8">
        <v>8368</v>
      </c>
      <c r="I54" s="8">
        <v>8368</v>
      </c>
      <c r="J54" s="8">
        <v>1586</v>
      </c>
      <c r="K54" s="8">
        <v>747</v>
      </c>
      <c r="L54" s="8">
        <v>297</v>
      </c>
      <c r="M54" s="8">
        <v>241.74828783985799</v>
      </c>
      <c r="N54" s="8">
        <v>212.61593575061627</v>
      </c>
    </row>
    <row r="55" spans="1:14" x14ac:dyDescent="0.25">
      <c r="A55" s="6" t="s">
        <v>1246</v>
      </c>
      <c r="B55" s="7" t="s">
        <v>20</v>
      </c>
      <c r="C55" s="7" t="s">
        <v>21</v>
      </c>
      <c r="D55" s="7" t="s">
        <v>1245</v>
      </c>
      <c r="E55" s="8">
        <v>11370</v>
      </c>
      <c r="F55" s="8">
        <v>12239</v>
      </c>
      <c r="G55" s="8">
        <v>11787</v>
      </c>
      <c r="H55" s="8">
        <v>14485</v>
      </c>
      <c r="I55" s="8">
        <v>14802</v>
      </c>
      <c r="J55" s="8">
        <v>16887</v>
      </c>
      <c r="K55" s="8">
        <v>18986</v>
      </c>
      <c r="L55" s="8">
        <v>21387</v>
      </c>
      <c r="M55" s="8">
        <v>23811.166877871539</v>
      </c>
      <c r="N55" s="8">
        <v>26181.095413564304</v>
      </c>
    </row>
    <row r="56" spans="1:14" x14ac:dyDescent="0.25">
      <c r="A56" s="6" t="s">
        <v>1261</v>
      </c>
      <c r="B56" s="7" t="s">
        <v>20</v>
      </c>
      <c r="C56" s="7" t="s">
        <v>21</v>
      </c>
      <c r="D56" s="7" t="s">
        <v>1260</v>
      </c>
      <c r="E56" s="8">
        <v>9437</v>
      </c>
      <c r="F56" s="8">
        <v>9715</v>
      </c>
      <c r="G56" s="8">
        <v>8520</v>
      </c>
      <c r="H56" s="8">
        <v>10157</v>
      </c>
      <c r="I56" s="8">
        <v>10046</v>
      </c>
      <c r="J56" s="8">
        <v>11126</v>
      </c>
      <c r="K56" s="8">
        <v>12181</v>
      </c>
      <c r="L56" s="8">
        <v>13389</v>
      </c>
      <c r="M56" s="8">
        <v>14659.15166518799</v>
      </c>
      <c r="N56" s="8">
        <v>15824.561708641591</v>
      </c>
    </row>
    <row r="57" spans="1:14" x14ac:dyDescent="0.25">
      <c r="A57" s="6" t="s">
        <v>1169</v>
      </c>
      <c r="B57" s="7" t="s">
        <v>20</v>
      </c>
      <c r="C57" s="7" t="s">
        <v>21</v>
      </c>
      <c r="D57" s="7" t="s">
        <v>1243</v>
      </c>
      <c r="E57" s="8">
        <v>2091</v>
      </c>
      <c r="F57" s="8">
        <v>2144</v>
      </c>
      <c r="G57" s="8">
        <v>1914</v>
      </c>
      <c r="H57" s="8">
        <v>2198</v>
      </c>
      <c r="I57" s="8">
        <v>2119</v>
      </c>
      <c r="J57" s="8">
        <v>2255</v>
      </c>
      <c r="K57" s="8">
        <v>2390</v>
      </c>
      <c r="L57" s="8">
        <v>2649</v>
      </c>
      <c r="M57" s="8">
        <v>2893.7966265693503</v>
      </c>
      <c r="N57" s="8">
        <v>3063.0779645293137</v>
      </c>
    </row>
    <row r="58" spans="1:14" x14ac:dyDescent="0.25">
      <c r="A58" s="6" t="s">
        <v>1167</v>
      </c>
      <c r="B58" s="7" t="s">
        <v>20</v>
      </c>
      <c r="C58" s="7" t="s">
        <v>21</v>
      </c>
      <c r="D58" s="7" t="s">
        <v>1241</v>
      </c>
      <c r="E58" s="8">
        <v>1668</v>
      </c>
      <c r="F58" s="8">
        <v>1721</v>
      </c>
      <c r="G58" s="8">
        <v>1578</v>
      </c>
      <c r="H58" s="8">
        <v>1907</v>
      </c>
      <c r="I58" s="8">
        <v>1927</v>
      </c>
      <c r="J58" s="8">
        <v>2195</v>
      </c>
      <c r="K58" s="8">
        <v>2467</v>
      </c>
      <c r="L58" s="8">
        <v>2764</v>
      </c>
      <c r="M58" s="8">
        <v>3213.9878136622278</v>
      </c>
      <c r="N58" s="8">
        <v>3689.9141047739658</v>
      </c>
    </row>
    <row r="59" spans="1:14" x14ac:dyDescent="0.25">
      <c r="A59" s="6" t="s">
        <v>1165</v>
      </c>
      <c r="B59" s="7" t="s">
        <v>20</v>
      </c>
      <c r="C59" s="7" t="s">
        <v>21</v>
      </c>
      <c r="D59" s="7" t="s">
        <v>1239</v>
      </c>
      <c r="E59" s="8">
        <v>646</v>
      </c>
      <c r="F59" s="8">
        <v>769</v>
      </c>
      <c r="G59" s="8">
        <v>740</v>
      </c>
      <c r="H59" s="8">
        <v>1007</v>
      </c>
      <c r="I59" s="8">
        <v>1035</v>
      </c>
      <c r="J59" s="8">
        <v>1161</v>
      </c>
      <c r="K59" s="8">
        <v>1279</v>
      </c>
      <c r="L59" s="8">
        <v>1448</v>
      </c>
      <c r="M59" s="8">
        <v>1568.7078365731954</v>
      </c>
      <c r="N59" s="8">
        <v>1677.3855018660042</v>
      </c>
    </row>
    <row r="60" spans="1:14" x14ac:dyDescent="0.25">
      <c r="A60" s="6" t="s">
        <v>42</v>
      </c>
      <c r="B60" s="7" t="s">
        <v>20</v>
      </c>
      <c r="C60" s="7" t="s">
        <v>21</v>
      </c>
      <c r="D60" s="7" t="s">
        <v>1238</v>
      </c>
      <c r="E60" s="8">
        <v>2929</v>
      </c>
      <c r="F60" s="8">
        <v>2850</v>
      </c>
      <c r="G60" s="8">
        <v>2339</v>
      </c>
      <c r="H60" s="8">
        <v>2654</v>
      </c>
      <c r="I60" s="8">
        <v>2483</v>
      </c>
      <c r="J60" s="8">
        <v>2681</v>
      </c>
      <c r="K60" s="8">
        <v>2837</v>
      </c>
      <c r="L60" s="8">
        <v>2995</v>
      </c>
      <c r="M60" s="8">
        <v>3151.4630658305909</v>
      </c>
      <c r="N60" s="8">
        <v>3274.2630370977613</v>
      </c>
    </row>
    <row r="61" spans="1:14" x14ac:dyDescent="0.25">
      <c r="A61" s="6" t="s">
        <v>1162</v>
      </c>
      <c r="B61" s="7" t="s">
        <v>20</v>
      </c>
      <c r="C61" s="7" t="s">
        <v>21</v>
      </c>
      <c r="D61" s="7" t="s">
        <v>1236</v>
      </c>
      <c r="E61" s="8">
        <v>1239</v>
      </c>
      <c r="F61" s="8">
        <v>1400</v>
      </c>
      <c r="G61" s="8">
        <v>1247</v>
      </c>
      <c r="H61" s="8">
        <v>1610</v>
      </c>
      <c r="I61" s="8">
        <v>1712</v>
      </c>
      <c r="J61" s="8">
        <v>1944</v>
      </c>
      <c r="K61" s="8">
        <v>2246</v>
      </c>
      <c r="L61" s="8">
        <v>2523</v>
      </c>
      <c r="M61" s="8">
        <v>2771.1499425108091</v>
      </c>
      <c r="N61" s="8">
        <v>3027.2723450535354</v>
      </c>
    </row>
    <row r="62" spans="1:14" x14ac:dyDescent="0.25">
      <c r="A62" s="6" t="s">
        <v>1160</v>
      </c>
      <c r="B62" s="7" t="s">
        <v>20</v>
      </c>
      <c r="C62" s="7" t="s">
        <v>21</v>
      </c>
      <c r="D62" s="7" t="s">
        <v>1234</v>
      </c>
      <c r="E62" s="8">
        <v>864</v>
      </c>
      <c r="F62" s="8">
        <v>831</v>
      </c>
      <c r="G62" s="8">
        <v>702</v>
      </c>
      <c r="H62" s="8">
        <v>781</v>
      </c>
      <c r="I62" s="8">
        <v>770</v>
      </c>
      <c r="J62" s="8">
        <v>890</v>
      </c>
      <c r="K62" s="8">
        <v>962</v>
      </c>
      <c r="L62" s="8">
        <v>1010</v>
      </c>
      <c r="M62" s="8">
        <v>1056.3081314178521</v>
      </c>
      <c r="N62" s="8">
        <v>1099.6526094696621</v>
      </c>
    </row>
    <row r="63" spans="1:14" x14ac:dyDescent="0.25">
      <c r="A63" s="6" t="s">
        <v>1233</v>
      </c>
      <c r="B63" s="7" t="s">
        <v>20</v>
      </c>
      <c r="C63" s="7" t="s">
        <v>21</v>
      </c>
      <c r="D63" s="7" t="s">
        <v>1232</v>
      </c>
      <c r="E63" s="8">
        <v>1933</v>
      </c>
      <c r="F63" s="8">
        <v>2524</v>
      </c>
      <c r="G63" s="8">
        <v>3267</v>
      </c>
      <c r="H63" s="8">
        <v>4328</v>
      </c>
      <c r="I63" s="8">
        <v>4756</v>
      </c>
      <c r="J63" s="8">
        <v>5761</v>
      </c>
      <c r="K63" s="8">
        <v>6805</v>
      </c>
      <c r="L63" s="8">
        <v>7998</v>
      </c>
      <c r="M63" s="8">
        <v>9138.6045840411389</v>
      </c>
      <c r="N63" s="8">
        <v>10322.370068382279</v>
      </c>
    </row>
    <row r="64" spans="1:14" x14ac:dyDescent="0.25">
      <c r="A64" s="6" t="s">
        <v>1259</v>
      </c>
      <c r="B64" s="7" t="s">
        <v>20</v>
      </c>
      <c r="C64" s="7" t="s">
        <v>21</v>
      </c>
      <c r="D64" s="7" t="s">
        <v>1230</v>
      </c>
      <c r="E64" s="8" t="s">
        <v>1483</v>
      </c>
      <c r="F64" s="8">
        <v>1800</v>
      </c>
      <c r="G64" s="8">
        <v>2600</v>
      </c>
      <c r="H64" s="8">
        <v>3700</v>
      </c>
      <c r="I64" s="8">
        <v>4200</v>
      </c>
      <c r="J64" s="8">
        <v>5300</v>
      </c>
      <c r="K64" s="8">
        <v>6400</v>
      </c>
      <c r="L64" s="8">
        <v>7600</v>
      </c>
      <c r="M64" s="8">
        <v>8757.4271150632412</v>
      </c>
      <c r="N64" s="8">
        <v>9909.5899164049224</v>
      </c>
    </row>
    <row r="65" spans="1:14" x14ac:dyDescent="0.25">
      <c r="A65" s="6" t="s">
        <v>32</v>
      </c>
      <c r="B65" s="7" t="s">
        <v>20</v>
      </c>
      <c r="C65" s="7" t="s">
        <v>21</v>
      </c>
      <c r="D65" s="7" t="s">
        <v>1258</v>
      </c>
      <c r="E65" s="8" t="s">
        <v>1483</v>
      </c>
      <c r="F65" s="8">
        <v>724</v>
      </c>
      <c r="G65" s="8">
        <v>667</v>
      </c>
      <c r="H65" s="8">
        <v>628</v>
      </c>
      <c r="I65" s="8">
        <v>556</v>
      </c>
      <c r="J65" s="8">
        <v>461</v>
      </c>
      <c r="K65" s="8">
        <v>405</v>
      </c>
      <c r="L65" s="8">
        <v>398</v>
      </c>
      <c r="M65" s="8">
        <v>339.5939965844093</v>
      </c>
      <c r="N65" s="8">
        <v>301.23770571995362</v>
      </c>
    </row>
    <row r="66" spans="1:14" x14ac:dyDescent="0.25">
      <c r="A66" s="6" t="s">
        <v>17</v>
      </c>
      <c r="B66" s="7"/>
      <c r="C66" s="7"/>
      <c r="D66" s="7"/>
      <c r="E66" s="8"/>
      <c r="F66" s="8"/>
      <c r="G66" s="8"/>
      <c r="H66" s="8"/>
      <c r="I66" s="8"/>
      <c r="J66" s="8"/>
      <c r="K66" s="8"/>
      <c r="L66" s="8"/>
      <c r="M66" s="8"/>
      <c r="N66" s="8"/>
    </row>
    <row r="67" spans="1:14" x14ac:dyDescent="0.25">
      <c r="A67" s="6" t="s">
        <v>1257</v>
      </c>
      <c r="B67" s="7" t="s">
        <v>15</v>
      </c>
      <c r="C67" s="7" t="s">
        <v>16</v>
      </c>
      <c r="D67" s="7"/>
      <c r="E67" s="8">
        <v>7.3</v>
      </c>
      <c r="F67" s="8">
        <v>7.7</v>
      </c>
      <c r="G67" s="8">
        <v>9.8000000000000007</v>
      </c>
      <c r="H67" s="8">
        <v>22.9</v>
      </c>
      <c r="I67" s="8">
        <v>6.4</v>
      </c>
      <c r="J67" s="8">
        <v>-6.2</v>
      </c>
      <c r="K67" s="8">
        <v>7.1</v>
      </c>
      <c r="L67" s="8">
        <v>5.5</v>
      </c>
      <c r="M67" s="8">
        <v>6.8330072497860339</v>
      </c>
      <c r="N67" s="8">
        <v>7.3823841708106999</v>
      </c>
    </row>
    <row r="68" spans="1:14" x14ac:dyDescent="0.25">
      <c r="A68" s="6" t="s">
        <v>1256</v>
      </c>
      <c r="B68" s="7" t="s">
        <v>15</v>
      </c>
      <c r="C68" s="7" t="s">
        <v>16</v>
      </c>
      <c r="D68" s="7" t="s">
        <v>1195</v>
      </c>
      <c r="E68" s="8">
        <v>7</v>
      </c>
      <c r="F68" s="8">
        <v>7.3</v>
      </c>
      <c r="G68" s="8">
        <v>1.9</v>
      </c>
      <c r="H68" s="8">
        <v>10.4</v>
      </c>
      <c r="I68" s="8">
        <v>10.6</v>
      </c>
      <c r="J68" s="8">
        <v>10.9</v>
      </c>
      <c r="K68" s="8">
        <v>9.1999999999999993</v>
      </c>
      <c r="L68" s="8">
        <v>7.4</v>
      </c>
      <c r="M68" s="8">
        <v>7.8062855143930676</v>
      </c>
      <c r="N68" s="8">
        <v>7.1010794585078463</v>
      </c>
    </row>
    <row r="69" spans="1:14" x14ac:dyDescent="0.25">
      <c r="A69" s="6" t="s">
        <v>1255</v>
      </c>
      <c r="B69" s="7" t="s">
        <v>15</v>
      </c>
      <c r="C69" s="7" t="s">
        <v>16</v>
      </c>
      <c r="D69" s="7" t="s">
        <v>1193</v>
      </c>
      <c r="E69" s="8">
        <v>7.4</v>
      </c>
      <c r="F69" s="8">
        <v>7.9</v>
      </c>
      <c r="G69" s="8">
        <v>2.6</v>
      </c>
      <c r="H69" s="8">
        <v>11.9</v>
      </c>
      <c r="I69" s="8">
        <v>11.8</v>
      </c>
      <c r="J69" s="8">
        <v>10.3</v>
      </c>
      <c r="K69" s="8">
        <v>9.5</v>
      </c>
      <c r="L69" s="8">
        <v>9.5</v>
      </c>
      <c r="M69" s="8">
        <v>8.7209710672721918</v>
      </c>
      <c r="N69" s="8">
        <v>7.5225051735821715</v>
      </c>
    </row>
    <row r="70" spans="1:14" x14ac:dyDescent="0.25">
      <c r="A70" s="6" t="s">
        <v>1254</v>
      </c>
      <c r="B70" s="7" t="s">
        <v>15</v>
      </c>
      <c r="C70" s="7" t="s">
        <v>16</v>
      </c>
      <c r="D70" s="7" t="s">
        <v>1189</v>
      </c>
      <c r="E70" s="8">
        <v>5.8</v>
      </c>
      <c r="F70" s="8">
        <v>5.6000000000000005</v>
      </c>
      <c r="G70" s="8">
        <v>-0.5</v>
      </c>
      <c r="H70" s="8">
        <v>6</v>
      </c>
      <c r="I70" s="8">
        <v>7.3</v>
      </c>
      <c r="J70" s="8">
        <v>12.8</v>
      </c>
      <c r="K70" s="8">
        <v>8.4</v>
      </c>
      <c r="L70" s="8">
        <v>1.4</v>
      </c>
      <c r="M70" s="8">
        <v>6.6043824510168481</v>
      </c>
      <c r="N70" s="8">
        <v>5.7499999999999991</v>
      </c>
    </row>
    <row r="71" spans="1:14" x14ac:dyDescent="0.25">
      <c r="A71" s="6" t="s">
        <v>1253</v>
      </c>
      <c r="B71" s="7" t="s">
        <v>15</v>
      </c>
      <c r="C71" s="7" t="s">
        <v>16</v>
      </c>
      <c r="D71" s="7" t="s">
        <v>1252</v>
      </c>
      <c r="E71" s="8">
        <v>5.2</v>
      </c>
      <c r="F71" s="8">
        <v>5.3</v>
      </c>
      <c r="G71" s="8">
        <v>4.7</v>
      </c>
      <c r="H71" s="8">
        <v>7.7</v>
      </c>
      <c r="I71" s="8">
        <v>-6.2</v>
      </c>
      <c r="J71" s="8">
        <v>13</v>
      </c>
      <c r="K71" s="8">
        <v>6.4</v>
      </c>
      <c r="L71" s="8">
        <v>1.2</v>
      </c>
      <c r="M71" s="8">
        <v>0.69726773460614999</v>
      </c>
      <c r="N71" s="8">
        <v>3.1729519378009408</v>
      </c>
    </row>
    <row r="72" spans="1:14" x14ac:dyDescent="0.25">
      <c r="A72" s="6" t="s">
        <v>1251</v>
      </c>
      <c r="B72" s="7" t="s">
        <v>15</v>
      </c>
      <c r="C72" s="7" t="s">
        <v>16</v>
      </c>
      <c r="D72" s="7" t="s">
        <v>1250</v>
      </c>
      <c r="E72" s="8">
        <v>5.6</v>
      </c>
      <c r="F72" s="8">
        <v>3.4</v>
      </c>
      <c r="G72" s="8">
        <v>0.3</v>
      </c>
      <c r="H72" s="8">
        <v>3.3</v>
      </c>
      <c r="I72" s="8">
        <v>-16.600000000000001</v>
      </c>
      <c r="J72" s="8">
        <v>17.899999999999999</v>
      </c>
      <c r="K72" s="8">
        <v>3.7</v>
      </c>
      <c r="L72" s="8">
        <v>-0.7</v>
      </c>
      <c r="M72" s="8">
        <v>-0.22010154479246091</v>
      </c>
      <c r="N72" s="8">
        <v>3.1433079898174285</v>
      </c>
    </row>
    <row r="73" spans="1:14" x14ac:dyDescent="0.25">
      <c r="A73" s="6" t="s">
        <v>1249</v>
      </c>
      <c r="B73" s="7" t="s">
        <v>15</v>
      </c>
      <c r="C73" s="7" t="s">
        <v>16</v>
      </c>
      <c r="D73" s="7" t="s">
        <v>1248</v>
      </c>
      <c r="E73" s="8">
        <v>4.5999999999999996</v>
      </c>
      <c r="F73" s="8">
        <v>7.9</v>
      </c>
      <c r="G73" s="8">
        <v>10.3</v>
      </c>
      <c r="H73" s="8">
        <v>12.8</v>
      </c>
      <c r="I73" s="8">
        <v>-4.8</v>
      </c>
      <c r="J73" s="8">
        <v>8.8000000000000007</v>
      </c>
      <c r="K73" s="8">
        <v>8.9</v>
      </c>
      <c r="L73" s="8">
        <v>3</v>
      </c>
      <c r="M73" s="8">
        <v>1.0812606457318745</v>
      </c>
      <c r="N73" s="8">
        <v>3.5857263839567062</v>
      </c>
    </row>
    <row r="74" spans="1:14" x14ac:dyDescent="0.25">
      <c r="A74" s="6" t="s">
        <v>1247</v>
      </c>
      <c r="B74" s="7" t="s">
        <v>15</v>
      </c>
      <c r="C74" s="7" t="s">
        <v>16</v>
      </c>
      <c r="D74" s="7" t="s">
        <v>1227</v>
      </c>
      <c r="E74" s="8">
        <v>6.7</v>
      </c>
      <c r="F74" s="8">
        <v>5.9</v>
      </c>
      <c r="G74" s="8">
        <v>40.6</v>
      </c>
      <c r="H74" s="8">
        <v>42.7</v>
      </c>
      <c r="I74" s="8">
        <v>10.4</v>
      </c>
      <c r="J74" s="8">
        <v>-38.200000000000003</v>
      </c>
      <c r="K74" s="8">
        <v>-3.9</v>
      </c>
      <c r="L74" s="8">
        <v>-4.5</v>
      </c>
      <c r="M74" s="8">
        <v>3.6264113784256633</v>
      </c>
      <c r="N74" s="8">
        <v>4.7110888553872199</v>
      </c>
    </row>
    <row r="75" spans="1:14" x14ac:dyDescent="0.25">
      <c r="A75" s="6" t="s">
        <v>1226</v>
      </c>
      <c r="B75" s="7" t="s">
        <v>15</v>
      </c>
      <c r="C75" s="7" t="s">
        <v>16</v>
      </c>
      <c r="D75" s="7" t="s">
        <v>1225</v>
      </c>
      <c r="E75" s="8">
        <v>8</v>
      </c>
      <c r="F75" s="8">
        <v>10</v>
      </c>
      <c r="G75" s="8">
        <v>-2.8</v>
      </c>
      <c r="H75" s="8">
        <v>12.4</v>
      </c>
      <c r="I75" s="8">
        <v>1.9</v>
      </c>
      <c r="J75" s="8">
        <v>8.4</v>
      </c>
      <c r="K75" s="8">
        <v>5.6</v>
      </c>
      <c r="L75" s="8">
        <v>2.1</v>
      </c>
      <c r="M75" s="8">
        <v>5.0494349341851121</v>
      </c>
      <c r="N75" s="8">
        <v>5.5333342971962711</v>
      </c>
    </row>
    <row r="76" spans="1:14" x14ac:dyDescent="0.25">
      <c r="A76" s="6" t="s">
        <v>1224</v>
      </c>
      <c r="B76" s="7" t="s">
        <v>15</v>
      </c>
      <c r="C76" s="7" t="s">
        <v>16</v>
      </c>
      <c r="D76" s="7" t="s">
        <v>1223</v>
      </c>
      <c r="E76" s="8">
        <v>4.3</v>
      </c>
      <c r="F76" s="8">
        <v>-6.3</v>
      </c>
      <c r="G76" s="8">
        <v>225.7</v>
      </c>
      <c r="H76" s="8">
        <v>-2.9</v>
      </c>
      <c r="I76" s="8">
        <v>-27.4</v>
      </c>
      <c r="J76" s="8">
        <v>-41.6</v>
      </c>
      <c r="K76" s="8">
        <v>-8.5</v>
      </c>
      <c r="L76" s="8">
        <v>-1.2</v>
      </c>
      <c r="M76" s="8">
        <v>3.2712035375004596</v>
      </c>
      <c r="N76" s="8">
        <v>4.0960040828008104</v>
      </c>
    </row>
    <row r="77" spans="1:14" x14ac:dyDescent="0.25">
      <c r="A77" s="6" t="s">
        <v>1222</v>
      </c>
      <c r="B77" s="7" t="s">
        <v>15</v>
      </c>
      <c r="C77" s="7" t="s">
        <v>16</v>
      </c>
      <c r="D77" s="7" t="s">
        <v>1221</v>
      </c>
      <c r="E77" s="8">
        <v>0.3</v>
      </c>
      <c r="F77" s="8">
        <v>1.9000000000000001</v>
      </c>
      <c r="G77" s="8">
        <v>-7.9</v>
      </c>
      <c r="H77" s="8">
        <v>3.2</v>
      </c>
      <c r="I77" s="8">
        <v>-0.6</v>
      </c>
      <c r="J77" s="8">
        <v>7.7</v>
      </c>
      <c r="K77" s="8">
        <v>4.0999999999999996</v>
      </c>
      <c r="L77" s="8">
        <v>3.1</v>
      </c>
      <c r="M77" s="8">
        <v>6.6800658936539747</v>
      </c>
      <c r="N77" s="8">
        <v>4.9033702972794755</v>
      </c>
    </row>
    <row r="78" spans="1:14" x14ac:dyDescent="0.25">
      <c r="A78" s="6" t="s">
        <v>1220</v>
      </c>
      <c r="B78" s="7" t="s">
        <v>15</v>
      </c>
      <c r="C78" s="7" t="s">
        <v>16</v>
      </c>
      <c r="D78" s="7" t="s">
        <v>1217</v>
      </c>
      <c r="E78" s="8" t="s">
        <v>1483</v>
      </c>
      <c r="F78" s="8">
        <v>1.2</v>
      </c>
      <c r="G78" s="8">
        <v>112.3</v>
      </c>
      <c r="H78" s="8">
        <v>93.3</v>
      </c>
      <c r="I78" s="8">
        <v>22.5</v>
      </c>
      <c r="J78" s="8">
        <v>-62.9</v>
      </c>
      <c r="K78" s="8">
        <v>-17.8</v>
      </c>
      <c r="L78" s="8">
        <v>-18</v>
      </c>
      <c r="M78" s="8">
        <v>-0.33030726809343425</v>
      </c>
      <c r="N78" s="8">
        <v>3.5724869631062379</v>
      </c>
    </row>
    <row r="79" spans="1:14" x14ac:dyDescent="0.25">
      <c r="A79" s="6" t="s">
        <v>1246</v>
      </c>
      <c r="B79" s="7" t="s">
        <v>15</v>
      </c>
      <c r="C79" s="7" t="s">
        <v>16</v>
      </c>
      <c r="D79" s="7" t="s">
        <v>1245</v>
      </c>
      <c r="E79" s="8">
        <v>9.1</v>
      </c>
      <c r="F79" s="8">
        <v>10.5</v>
      </c>
      <c r="G79" s="8">
        <v>-3.8</v>
      </c>
      <c r="H79" s="8">
        <v>19.399999999999999</v>
      </c>
      <c r="I79" s="8">
        <v>8.1</v>
      </c>
      <c r="J79" s="8">
        <v>14.2</v>
      </c>
      <c r="K79" s="8">
        <v>13.4</v>
      </c>
      <c r="L79" s="8">
        <v>11.9</v>
      </c>
      <c r="M79" s="8">
        <v>10.471930513827347</v>
      </c>
      <c r="N79" s="8">
        <v>9.9329383577478474</v>
      </c>
    </row>
    <row r="80" spans="1:14" x14ac:dyDescent="0.25">
      <c r="A80" s="6" t="s">
        <v>1244</v>
      </c>
      <c r="B80" s="7" t="s">
        <v>15</v>
      </c>
      <c r="C80" s="7" t="s">
        <v>16</v>
      </c>
      <c r="D80" s="7" t="s">
        <v>1243</v>
      </c>
      <c r="E80" s="8">
        <v>-1.5</v>
      </c>
      <c r="F80" s="8">
        <v>0</v>
      </c>
      <c r="G80" s="8">
        <v>-10.8</v>
      </c>
      <c r="H80" s="8">
        <v>12.7</v>
      </c>
      <c r="I80" s="8">
        <v>1.5</v>
      </c>
      <c r="J80" s="8">
        <v>7.5</v>
      </c>
      <c r="K80" s="8">
        <v>6.9</v>
      </c>
      <c r="L80" s="8">
        <v>10.199999999999999</v>
      </c>
      <c r="M80" s="8">
        <v>8.7388894082195012</v>
      </c>
      <c r="N80" s="8">
        <v>6.4448762591541735</v>
      </c>
    </row>
    <row r="81" spans="1:14" x14ac:dyDescent="0.25">
      <c r="A81" s="6" t="s">
        <v>1242</v>
      </c>
      <c r="B81" s="7" t="s">
        <v>15</v>
      </c>
      <c r="C81" s="7" t="s">
        <v>16</v>
      </c>
      <c r="D81" s="7" t="s">
        <v>1241</v>
      </c>
      <c r="E81" s="8">
        <v>19.600000000000001</v>
      </c>
      <c r="F81" s="8">
        <v>12.5</v>
      </c>
      <c r="G81" s="8">
        <v>-8.6</v>
      </c>
      <c r="H81" s="8">
        <v>19.100000000000001</v>
      </c>
      <c r="I81" s="8">
        <v>7.3</v>
      </c>
      <c r="J81" s="8">
        <v>15.9</v>
      </c>
      <c r="K81" s="8">
        <v>14.4</v>
      </c>
      <c r="L81" s="8">
        <v>11.6</v>
      </c>
      <c r="M81" s="8">
        <v>14.949957122602193</v>
      </c>
      <c r="N81" s="8">
        <v>13.287708583241482</v>
      </c>
    </row>
    <row r="82" spans="1:14" x14ac:dyDescent="0.25">
      <c r="A82" s="6" t="s">
        <v>1240</v>
      </c>
      <c r="B82" s="7" t="s">
        <v>15</v>
      </c>
      <c r="C82" s="7" t="s">
        <v>16</v>
      </c>
      <c r="D82" s="7" t="s">
        <v>1239</v>
      </c>
      <c r="E82" s="8">
        <v>0</v>
      </c>
      <c r="F82" s="8">
        <v>20.5</v>
      </c>
      <c r="G82" s="8">
        <v>-3.9</v>
      </c>
      <c r="H82" s="8">
        <v>19.100000000000001</v>
      </c>
      <c r="I82" s="8">
        <v>5.9</v>
      </c>
      <c r="J82" s="8">
        <v>12</v>
      </c>
      <c r="K82" s="8">
        <v>10.3</v>
      </c>
      <c r="L82" s="8">
        <v>12.7</v>
      </c>
      <c r="M82" s="8">
        <v>7.6479763304720105</v>
      </c>
      <c r="N82" s="8">
        <v>6.5398985248486863</v>
      </c>
    </row>
    <row r="83" spans="1:14" x14ac:dyDescent="0.25">
      <c r="A83" s="6" t="s">
        <v>108</v>
      </c>
      <c r="B83" s="7" t="s">
        <v>15</v>
      </c>
      <c r="C83" s="7" t="s">
        <v>16</v>
      </c>
      <c r="D83" s="7" t="s">
        <v>1238</v>
      </c>
      <c r="E83" s="8">
        <v>0.5</v>
      </c>
      <c r="F83" s="8">
        <v>0.2</v>
      </c>
      <c r="G83" s="8">
        <v>-17.8</v>
      </c>
      <c r="H83" s="8">
        <v>11.1</v>
      </c>
      <c r="I83" s="8">
        <v>-1</v>
      </c>
      <c r="J83" s="8">
        <v>4</v>
      </c>
      <c r="K83" s="8">
        <v>4.5999999999999996</v>
      </c>
      <c r="L83" s="8">
        <v>5.0999999999999996</v>
      </c>
      <c r="M83" s="8">
        <v>4.4737387628483587</v>
      </c>
      <c r="N83" s="8">
        <v>3.9639519475352682</v>
      </c>
    </row>
    <row r="84" spans="1:14" x14ac:dyDescent="0.25">
      <c r="A84" s="6" t="s">
        <v>1237</v>
      </c>
      <c r="B84" s="7" t="s">
        <v>15</v>
      </c>
      <c r="C84" s="7" t="s">
        <v>16</v>
      </c>
      <c r="D84" s="7" t="s">
        <v>1236</v>
      </c>
      <c r="E84" s="8">
        <v>13</v>
      </c>
      <c r="F84" s="8">
        <v>16.2</v>
      </c>
      <c r="G84" s="8">
        <v>-11.2</v>
      </c>
      <c r="H84" s="8">
        <v>26.8</v>
      </c>
      <c r="I84" s="8">
        <v>13</v>
      </c>
      <c r="J84" s="8">
        <v>14.3</v>
      </c>
      <c r="K84" s="8">
        <v>17</v>
      </c>
      <c r="L84" s="8">
        <v>11.5</v>
      </c>
      <c r="M84" s="8">
        <v>9.7612476041615093</v>
      </c>
      <c r="N84" s="8">
        <v>9.4468487603708251</v>
      </c>
    </row>
    <row r="85" spans="1:14" x14ac:dyDescent="0.25">
      <c r="A85" s="6" t="s">
        <v>1235</v>
      </c>
      <c r="B85" s="7" t="s">
        <v>15</v>
      </c>
      <c r="C85" s="7" t="s">
        <v>16</v>
      </c>
      <c r="D85" s="7" t="s">
        <v>1234</v>
      </c>
      <c r="E85" s="8">
        <v>6.5</v>
      </c>
      <c r="F85" s="8">
        <v>-2.4</v>
      </c>
      <c r="G85" s="8">
        <v>-15.5</v>
      </c>
      <c r="H85" s="8">
        <v>10.3</v>
      </c>
      <c r="I85" s="8">
        <v>0.9</v>
      </c>
      <c r="J85" s="8">
        <v>16.399999999999999</v>
      </c>
      <c r="K85" s="8">
        <v>9.5</v>
      </c>
      <c r="L85" s="8">
        <v>4.8</v>
      </c>
      <c r="M85" s="8">
        <v>4.0292516348576397</v>
      </c>
      <c r="N85" s="8">
        <v>4.3013448266398102</v>
      </c>
    </row>
    <row r="86" spans="1:14" x14ac:dyDescent="0.25">
      <c r="A86" s="6" t="s">
        <v>1233</v>
      </c>
      <c r="B86" s="7" t="s">
        <v>15</v>
      </c>
      <c r="C86" s="7" t="s">
        <v>16</v>
      </c>
      <c r="D86" s="7" t="s">
        <v>1232</v>
      </c>
      <c r="E86" s="8">
        <v>34.799999999999997</v>
      </c>
      <c r="F86" s="8">
        <v>35.700000000000003</v>
      </c>
      <c r="G86" s="8">
        <v>29.4</v>
      </c>
      <c r="H86" s="8">
        <v>28.5</v>
      </c>
      <c r="I86" s="8">
        <v>17.399999999999999</v>
      </c>
      <c r="J86" s="8">
        <v>21.9</v>
      </c>
      <c r="K86" s="8">
        <v>19.7</v>
      </c>
      <c r="L86" s="8">
        <v>16.3</v>
      </c>
      <c r="M86" s="8">
        <v>13.272065954889536</v>
      </c>
      <c r="N86" s="8">
        <v>12.990205081766332</v>
      </c>
    </row>
    <row r="87" spans="1:14" x14ac:dyDescent="0.25">
      <c r="A87" s="6" t="s">
        <v>1231</v>
      </c>
      <c r="B87" s="7" t="s">
        <v>15</v>
      </c>
      <c r="C87" s="7" t="s">
        <v>16</v>
      </c>
      <c r="D87" s="7" t="s">
        <v>1230</v>
      </c>
      <c r="E87" s="8" t="s">
        <v>1483</v>
      </c>
      <c r="F87" s="8" t="s">
        <v>1483</v>
      </c>
      <c r="G87" s="8" t="s">
        <v>1483</v>
      </c>
      <c r="H87" s="8" t="s">
        <v>1483</v>
      </c>
      <c r="I87" s="8" t="s">
        <v>1483</v>
      </c>
      <c r="J87" s="8" t="s">
        <v>1483</v>
      </c>
      <c r="K87" s="8" t="s">
        <v>1483</v>
      </c>
      <c r="L87" s="8" t="s">
        <v>1483</v>
      </c>
      <c r="M87" s="8" t="s">
        <v>1483</v>
      </c>
      <c r="N87" s="8" t="s">
        <v>1483</v>
      </c>
    </row>
    <row r="88" spans="1:14" x14ac:dyDescent="0.25">
      <c r="A88" s="6" t="s">
        <v>17</v>
      </c>
      <c r="B88" s="7"/>
      <c r="C88" s="7"/>
      <c r="D88" s="7"/>
      <c r="E88" s="8"/>
      <c r="F88" s="8"/>
      <c r="G88" s="8"/>
      <c r="H88" s="8"/>
      <c r="I88" s="8"/>
      <c r="J88" s="8"/>
      <c r="K88" s="8"/>
      <c r="L88" s="8"/>
      <c r="M88" s="8"/>
      <c r="N88" s="8"/>
    </row>
    <row r="89" spans="1:14" x14ac:dyDescent="0.25">
      <c r="A89" s="6" t="s">
        <v>1229</v>
      </c>
      <c r="B89" s="7"/>
      <c r="C89" s="7"/>
      <c r="D89" s="7"/>
      <c r="E89" s="8"/>
      <c r="F89" s="8"/>
      <c r="G89" s="8"/>
      <c r="H89" s="8"/>
      <c r="I89" s="8"/>
      <c r="J89" s="8"/>
      <c r="K89" s="8"/>
      <c r="L89" s="8"/>
      <c r="M89" s="8"/>
      <c r="N89" s="8"/>
    </row>
    <row r="90" spans="1:14" x14ac:dyDescent="0.25">
      <c r="A90" s="6" t="s">
        <v>1228</v>
      </c>
      <c r="B90" s="7" t="s">
        <v>1219</v>
      </c>
      <c r="C90" s="7" t="s">
        <v>1218</v>
      </c>
      <c r="D90" s="7" t="s">
        <v>1227</v>
      </c>
      <c r="E90" s="8" t="s">
        <v>1483</v>
      </c>
      <c r="F90" s="8" t="s">
        <v>1483</v>
      </c>
      <c r="G90" s="8" t="s">
        <v>1483</v>
      </c>
      <c r="H90" s="8">
        <v>42.7</v>
      </c>
      <c r="I90" s="8">
        <v>8.6</v>
      </c>
      <c r="J90" s="8">
        <v>5.8</v>
      </c>
      <c r="K90" s="8">
        <v>5.2</v>
      </c>
      <c r="L90" s="8">
        <v>-4.5</v>
      </c>
      <c r="M90" s="8">
        <v>4.1827174866751911</v>
      </c>
      <c r="N90" s="8">
        <v>5.3145633523595883</v>
      </c>
    </row>
    <row r="91" spans="1:14" x14ac:dyDescent="0.25">
      <c r="A91" s="6" t="s">
        <v>1226</v>
      </c>
      <c r="B91" s="7" t="s">
        <v>1219</v>
      </c>
      <c r="C91" s="7" t="s">
        <v>1218</v>
      </c>
      <c r="D91" s="7" t="s">
        <v>1225</v>
      </c>
      <c r="E91" s="8" t="s">
        <v>1483</v>
      </c>
      <c r="F91" s="8" t="s">
        <v>1483</v>
      </c>
      <c r="G91" s="8" t="s">
        <v>1483</v>
      </c>
      <c r="H91" s="8">
        <v>12.4</v>
      </c>
      <c r="I91" s="8">
        <v>4.8</v>
      </c>
      <c r="J91" s="8">
        <v>9.4</v>
      </c>
      <c r="K91" s="8">
        <v>5.8</v>
      </c>
      <c r="L91" s="8">
        <v>2.1</v>
      </c>
      <c r="M91" s="8" t="s">
        <v>1483</v>
      </c>
      <c r="N91" s="8" t="s">
        <v>1483</v>
      </c>
    </row>
    <row r="92" spans="1:14" x14ac:dyDescent="0.25">
      <c r="A92" s="6" t="s">
        <v>1224</v>
      </c>
      <c r="B92" s="7" t="s">
        <v>1219</v>
      </c>
      <c r="C92" s="7" t="s">
        <v>1218</v>
      </c>
      <c r="D92" s="7" t="s">
        <v>1223</v>
      </c>
      <c r="E92" s="8" t="s">
        <v>1483</v>
      </c>
      <c r="F92" s="8" t="s">
        <v>1483</v>
      </c>
      <c r="G92" s="8" t="s">
        <v>1483</v>
      </c>
      <c r="H92" s="8">
        <v>-2.9</v>
      </c>
      <c r="I92" s="8">
        <v>13.8</v>
      </c>
      <c r="J92" s="8">
        <v>-8.1</v>
      </c>
      <c r="K92" s="8">
        <v>-3.2</v>
      </c>
      <c r="L92" s="8">
        <v>-1.2</v>
      </c>
      <c r="M92" s="8" t="s">
        <v>1483</v>
      </c>
      <c r="N92" s="8" t="s">
        <v>1483</v>
      </c>
    </row>
    <row r="93" spans="1:14" x14ac:dyDescent="0.25">
      <c r="A93" s="6" t="s">
        <v>1222</v>
      </c>
      <c r="B93" s="7" t="s">
        <v>1219</v>
      </c>
      <c r="C93" s="7" t="s">
        <v>1218</v>
      </c>
      <c r="D93" s="7" t="s">
        <v>1221</v>
      </c>
      <c r="E93" s="8" t="s">
        <v>1483</v>
      </c>
      <c r="F93" s="8" t="s">
        <v>1483</v>
      </c>
      <c r="G93" s="8" t="s">
        <v>1483</v>
      </c>
      <c r="H93" s="8">
        <v>3.2</v>
      </c>
      <c r="I93" s="8">
        <v>-0.6</v>
      </c>
      <c r="J93" s="8">
        <v>7.7</v>
      </c>
      <c r="K93" s="8">
        <v>4.0999999999999996</v>
      </c>
      <c r="L93" s="8">
        <v>3.1</v>
      </c>
      <c r="M93" s="8" t="s">
        <v>1483</v>
      </c>
      <c r="N93" s="8" t="s">
        <v>1483</v>
      </c>
    </row>
    <row r="94" spans="1:14" x14ac:dyDescent="0.25">
      <c r="A94" s="6" t="s">
        <v>1220</v>
      </c>
      <c r="B94" s="7" t="s">
        <v>1219</v>
      </c>
      <c r="C94" s="7" t="s">
        <v>1218</v>
      </c>
      <c r="D94" s="7" t="s">
        <v>1217</v>
      </c>
      <c r="E94" s="8" t="s">
        <v>1483</v>
      </c>
      <c r="F94" s="8" t="s">
        <v>1483</v>
      </c>
      <c r="G94" s="8" t="s">
        <v>1483</v>
      </c>
      <c r="H94" s="8">
        <v>93.3</v>
      </c>
      <c r="I94" s="8">
        <v>19.100000000000001</v>
      </c>
      <c r="J94" s="8">
        <v>1.3</v>
      </c>
      <c r="K94" s="8">
        <v>6</v>
      </c>
      <c r="L94" s="8">
        <v>11.9</v>
      </c>
      <c r="M94" s="8" t="s">
        <v>1483</v>
      </c>
      <c r="N94" s="8" t="s">
        <v>1483</v>
      </c>
    </row>
    <row r="95" spans="1:14" x14ac:dyDescent="0.25">
      <c r="A95" s="6" t="s">
        <v>17</v>
      </c>
      <c r="B95" s="7"/>
      <c r="C95" s="7"/>
      <c r="D95" s="7"/>
      <c r="E95" s="8"/>
      <c r="F95" s="8"/>
      <c r="G95" s="8"/>
      <c r="H95" s="8"/>
      <c r="I95" s="8"/>
      <c r="J95" s="8"/>
      <c r="K95" s="8"/>
      <c r="L95" s="8"/>
      <c r="M95" s="8"/>
      <c r="N95" s="8"/>
    </row>
    <row r="96" spans="1:14" x14ac:dyDescent="0.25">
      <c r="A96" s="6" t="s">
        <v>82</v>
      </c>
      <c r="B96" s="7"/>
      <c r="C96" s="7"/>
      <c r="D96" s="7"/>
      <c r="E96" s="8"/>
      <c r="F96" s="8"/>
      <c r="G96" s="8"/>
      <c r="H96" s="8"/>
      <c r="I96" s="8"/>
      <c r="J96" s="8"/>
      <c r="K96" s="8"/>
      <c r="L96" s="8"/>
      <c r="M96" s="8"/>
      <c r="N96" s="8"/>
    </row>
    <row r="97" spans="1:14" x14ac:dyDescent="0.25">
      <c r="A97" s="6" t="s">
        <v>83</v>
      </c>
      <c r="B97" s="7"/>
      <c r="C97" s="7"/>
      <c r="D97" s="7"/>
      <c r="E97" s="8"/>
      <c r="F97" s="8"/>
      <c r="G97" s="8"/>
      <c r="H97" s="8"/>
      <c r="I97" s="8"/>
      <c r="J97" s="8"/>
      <c r="K97" s="8"/>
      <c r="L97" s="8"/>
      <c r="M97" s="8"/>
      <c r="N97" s="8"/>
    </row>
    <row r="98" spans="1:14" x14ac:dyDescent="0.25">
      <c r="A98" s="6" t="s">
        <v>19</v>
      </c>
      <c r="B98" s="7" t="s">
        <v>20</v>
      </c>
      <c r="C98" s="7" t="s">
        <v>21</v>
      </c>
      <c r="D98" s="7" t="s">
        <v>1216</v>
      </c>
      <c r="E98" s="8">
        <v>10839</v>
      </c>
      <c r="F98" s="8">
        <v>11398</v>
      </c>
      <c r="G98" s="8">
        <v>13022</v>
      </c>
      <c r="H98" s="8">
        <v>16642</v>
      </c>
      <c r="I98" s="8">
        <v>18142</v>
      </c>
      <c r="J98" s="8">
        <v>15452</v>
      </c>
      <c r="K98" s="8">
        <v>16323</v>
      </c>
      <c r="L98" s="8">
        <v>17126</v>
      </c>
      <c r="M98" s="8">
        <v>18366.506013013688</v>
      </c>
      <c r="N98" s="8">
        <v>19805.958066925887</v>
      </c>
    </row>
    <row r="99" spans="1:14" x14ac:dyDescent="0.25">
      <c r="A99" s="6" t="s">
        <v>1188</v>
      </c>
      <c r="B99" s="7" t="s">
        <v>20</v>
      </c>
      <c r="C99" s="7" t="s">
        <v>21</v>
      </c>
      <c r="D99" s="7" t="s">
        <v>1215</v>
      </c>
      <c r="E99" s="8">
        <v>3075</v>
      </c>
      <c r="F99" s="8">
        <v>3110</v>
      </c>
      <c r="G99" s="8">
        <v>3279</v>
      </c>
      <c r="H99" s="8">
        <v>3556</v>
      </c>
      <c r="I99" s="8">
        <v>2919</v>
      </c>
      <c r="J99" s="8">
        <v>3413</v>
      </c>
      <c r="K99" s="8">
        <v>3689</v>
      </c>
      <c r="L99" s="8">
        <v>3606</v>
      </c>
      <c r="M99" s="8">
        <v>3605.4834576923076</v>
      </c>
      <c r="N99" s="8">
        <v>3703.4378586630764</v>
      </c>
    </row>
    <row r="100" spans="1:14" x14ac:dyDescent="0.25">
      <c r="A100" s="6" t="s">
        <v>1181</v>
      </c>
      <c r="B100" s="7" t="s">
        <v>15</v>
      </c>
      <c r="C100" s="7" t="s">
        <v>16</v>
      </c>
      <c r="D100" s="7" t="s">
        <v>1215</v>
      </c>
      <c r="E100" s="8">
        <v>2.1</v>
      </c>
      <c r="F100" s="8">
        <v>2.4</v>
      </c>
      <c r="G100" s="8">
        <v>5.4</v>
      </c>
      <c r="H100" s="8">
        <v>8.4</v>
      </c>
      <c r="I100" s="8">
        <v>-17.899999999999999</v>
      </c>
      <c r="J100" s="8">
        <v>16.899999999999999</v>
      </c>
      <c r="K100" s="8">
        <v>9.1999999999999993</v>
      </c>
      <c r="L100" s="8">
        <v>-1.9</v>
      </c>
      <c r="M100" s="8">
        <v>-9.5677989165739857E-2</v>
      </c>
      <c r="N100" s="8">
        <v>2.8089962926168695</v>
      </c>
    </row>
    <row r="101" spans="1:14" x14ac:dyDescent="0.25">
      <c r="A101" s="6" t="s">
        <v>1186</v>
      </c>
      <c r="B101" s="7" t="s">
        <v>20</v>
      </c>
      <c r="C101" s="7" t="s">
        <v>21</v>
      </c>
      <c r="D101" s="7" t="s">
        <v>1214</v>
      </c>
      <c r="E101" s="8">
        <v>1843</v>
      </c>
      <c r="F101" s="8">
        <v>1879</v>
      </c>
      <c r="G101" s="8">
        <v>1987</v>
      </c>
      <c r="H101" s="8">
        <v>2192</v>
      </c>
      <c r="I101" s="8">
        <v>1562</v>
      </c>
      <c r="J101" s="8">
        <v>1977</v>
      </c>
      <c r="K101" s="8">
        <v>2208</v>
      </c>
      <c r="L101" s="8">
        <v>2158</v>
      </c>
      <c r="M101" s="8">
        <v>2145.473258185596</v>
      </c>
      <c r="N101" s="8">
        <v>2209.0009783636365</v>
      </c>
    </row>
    <row r="102" spans="1:14" x14ac:dyDescent="0.25">
      <c r="A102" s="6" t="s">
        <v>1157</v>
      </c>
      <c r="B102" s="7" t="s">
        <v>15</v>
      </c>
      <c r="C102" s="7" t="s">
        <v>16</v>
      </c>
      <c r="D102" s="7" t="s">
        <v>1214</v>
      </c>
      <c r="E102" s="8">
        <v>3.7</v>
      </c>
      <c r="F102" s="8">
        <v>1.9000000000000001</v>
      </c>
      <c r="G102" s="8">
        <v>5.8</v>
      </c>
      <c r="H102" s="8">
        <v>10.3</v>
      </c>
      <c r="I102" s="8">
        <v>-28.7</v>
      </c>
      <c r="J102" s="8">
        <v>26.6</v>
      </c>
      <c r="K102" s="8">
        <v>11.7</v>
      </c>
      <c r="L102" s="8">
        <v>-2.2999999999999998</v>
      </c>
      <c r="M102" s="8">
        <v>-0.84143623102190224</v>
      </c>
      <c r="N102" s="8">
        <v>2.8164473328655717</v>
      </c>
    </row>
    <row r="103" spans="1:14" x14ac:dyDescent="0.25">
      <c r="A103" s="6" t="s">
        <v>1184</v>
      </c>
      <c r="B103" s="7" t="s">
        <v>20</v>
      </c>
      <c r="C103" s="7" t="s">
        <v>21</v>
      </c>
      <c r="D103" s="7" t="s">
        <v>1213</v>
      </c>
      <c r="E103" s="8">
        <v>1232</v>
      </c>
      <c r="F103" s="8">
        <v>1231</v>
      </c>
      <c r="G103" s="8">
        <v>1292</v>
      </c>
      <c r="H103" s="8">
        <v>1364</v>
      </c>
      <c r="I103" s="8">
        <v>1357</v>
      </c>
      <c r="J103" s="8">
        <v>1436</v>
      </c>
      <c r="K103" s="8">
        <v>1481</v>
      </c>
      <c r="L103" s="8">
        <v>1448</v>
      </c>
      <c r="M103" s="8">
        <v>1462.5991311060923</v>
      </c>
      <c r="N103" s="8">
        <v>1498.884284</v>
      </c>
    </row>
    <row r="104" spans="1:14" x14ac:dyDescent="0.25">
      <c r="A104" s="6" t="s">
        <v>1157</v>
      </c>
      <c r="B104" s="7" t="s">
        <v>15</v>
      </c>
      <c r="C104" s="7" t="s">
        <v>16</v>
      </c>
      <c r="D104" s="7" t="s">
        <v>1213</v>
      </c>
      <c r="E104" s="8">
        <v>-0.3</v>
      </c>
      <c r="F104" s="8">
        <v>3.2</v>
      </c>
      <c r="G104" s="8">
        <v>4.9000000000000004</v>
      </c>
      <c r="H104" s="8">
        <v>5.6</v>
      </c>
      <c r="I104" s="8">
        <v>-0.5</v>
      </c>
      <c r="J104" s="8">
        <v>5.8</v>
      </c>
      <c r="K104" s="8">
        <v>5.8</v>
      </c>
      <c r="L104" s="8">
        <v>-1.4</v>
      </c>
      <c r="M104" s="8">
        <v>1.020204537328115</v>
      </c>
      <c r="N104" s="8">
        <v>2.3652185308128804</v>
      </c>
    </row>
    <row r="105" spans="1:14" x14ac:dyDescent="0.25">
      <c r="A105" s="6" t="s">
        <v>1182</v>
      </c>
      <c r="B105" s="7" t="s">
        <v>20</v>
      </c>
      <c r="C105" s="7" t="s">
        <v>21</v>
      </c>
      <c r="D105" s="7" t="s">
        <v>1212</v>
      </c>
      <c r="E105" s="8">
        <v>2717</v>
      </c>
      <c r="F105" s="8">
        <v>2887</v>
      </c>
      <c r="G105" s="8">
        <v>4774</v>
      </c>
      <c r="H105" s="8">
        <v>7011</v>
      </c>
      <c r="I105" s="8">
        <v>8531</v>
      </c>
      <c r="J105" s="8">
        <v>4329</v>
      </c>
      <c r="K105" s="8">
        <v>3830</v>
      </c>
      <c r="L105" s="8">
        <v>3552</v>
      </c>
      <c r="M105" s="8">
        <v>3724.770323076923</v>
      </c>
      <c r="N105" s="8">
        <v>3931.3981366033131</v>
      </c>
    </row>
    <row r="106" spans="1:14" x14ac:dyDescent="0.25">
      <c r="A106" s="6" t="s">
        <v>1181</v>
      </c>
      <c r="B106" s="7" t="s">
        <v>15</v>
      </c>
      <c r="C106" s="7" t="s">
        <v>16</v>
      </c>
      <c r="D106" s="7" t="s">
        <v>1212</v>
      </c>
      <c r="E106" s="8">
        <v>3.1</v>
      </c>
      <c r="F106" s="8">
        <v>6.3</v>
      </c>
      <c r="G106" s="8">
        <v>65.3</v>
      </c>
      <c r="H106" s="8">
        <v>49.3</v>
      </c>
      <c r="I106" s="8">
        <v>21.3</v>
      </c>
      <c r="J106" s="8">
        <v>1.3</v>
      </c>
      <c r="K106" s="8">
        <v>6.3</v>
      </c>
      <c r="L106" s="8">
        <v>-7.7</v>
      </c>
      <c r="M106" s="8">
        <v>6.5967318041424869</v>
      </c>
      <c r="N106" s="8">
        <v>6.1118497806913661</v>
      </c>
    </row>
    <row r="107" spans="1:14" x14ac:dyDescent="0.25">
      <c r="A107" s="6" t="s">
        <v>1179</v>
      </c>
      <c r="B107" s="7" t="s">
        <v>1191</v>
      </c>
      <c r="C107" s="7" t="s">
        <v>1190</v>
      </c>
      <c r="D107" s="7" t="s">
        <v>1211</v>
      </c>
      <c r="E107" s="8">
        <v>985</v>
      </c>
      <c r="F107" s="8">
        <v>1086</v>
      </c>
      <c r="G107" s="8">
        <v>1166</v>
      </c>
      <c r="H107" s="8">
        <v>1145</v>
      </c>
      <c r="I107" s="8">
        <v>1137</v>
      </c>
      <c r="J107" s="8">
        <v>1243</v>
      </c>
      <c r="K107" s="8">
        <v>1332</v>
      </c>
      <c r="L107" s="8">
        <v>1425</v>
      </c>
      <c r="M107" s="8">
        <v>1515.7923221153846</v>
      </c>
      <c r="N107" s="8">
        <v>1611.6265571767342</v>
      </c>
    </row>
    <row r="108" spans="1:14" x14ac:dyDescent="0.25">
      <c r="A108" s="6" t="s">
        <v>1157</v>
      </c>
      <c r="B108" s="7" t="s">
        <v>15</v>
      </c>
      <c r="C108" s="7" t="s">
        <v>16</v>
      </c>
      <c r="D108" s="7" t="s">
        <v>1211</v>
      </c>
      <c r="E108" s="8">
        <v>7</v>
      </c>
      <c r="F108" s="8">
        <v>10.3</v>
      </c>
      <c r="G108" s="8">
        <v>7.3</v>
      </c>
      <c r="H108" s="8">
        <v>-1.8</v>
      </c>
      <c r="I108" s="8">
        <v>-0.7</v>
      </c>
      <c r="J108" s="8">
        <v>10.1</v>
      </c>
      <c r="K108" s="8">
        <v>7.5</v>
      </c>
      <c r="L108" s="8">
        <v>7</v>
      </c>
      <c r="M108" s="8">
        <v>6.5735996130356753</v>
      </c>
      <c r="N108" s="8">
        <v>6.3977782163048227</v>
      </c>
    </row>
    <row r="109" spans="1:14" x14ac:dyDescent="0.25">
      <c r="A109" s="6" t="s">
        <v>1177</v>
      </c>
      <c r="B109" s="7" t="s">
        <v>1191</v>
      </c>
      <c r="C109" s="7" t="s">
        <v>1190</v>
      </c>
      <c r="D109" s="7" t="s">
        <v>1210</v>
      </c>
      <c r="E109" s="8">
        <v>152</v>
      </c>
      <c r="F109" s="8">
        <v>149</v>
      </c>
      <c r="G109" s="8">
        <v>621</v>
      </c>
      <c r="H109" s="8">
        <v>566</v>
      </c>
      <c r="I109" s="8">
        <v>370</v>
      </c>
      <c r="J109" s="8">
        <v>172</v>
      </c>
      <c r="K109" s="8">
        <v>150</v>
      </c>
      <c r="L109" s="8">
        <v>150</v>
      </c>
      <c r="M109" s="8">
        <v>229.18175384615387</v>
      </c>
      <c r="N109" s="8">
        <v>273.30214703445864</v>
      </c>
    </row>
    <row r="110" spans="1:14" x14ac:dyDescent="0.25">
      <c r="A110" s="6" t="s">
        <v>1157</v>
      </c>
      <c r="B110" s="7" t="s">
        <v>15</v>
      </c>
      <c r="C110" s="7" t="s">
        <v>16</v>
      </c>
      <c r="D110" s="7" t="s">
        <v>1210</v>
      </c>
      <c r="E110" s="8">
        <v>-4.8</v>
      </c>
      <c r="F110" s="8">
        <v>-1.8</v>
      </c>
      <c r="G110" s="8">
        <v>315.5</v>
      </c>
      <c r="H110" s="8">
        <v>-8.9</v>
      </c>
      <c r="I110" s="8">
        <v>-34.6</v>
      </c>
      <c r="J110" s="8">
        <v>-17.8</v>
      </c>
      <c r="K110" s="8">
        <v>-4.3</v>
      </c>
      <c r="L110" s="8">
        <v>0.4</v>
      </c>
      <c r="M110" s="8">
        <v>4.6975702510191732</v>
      </c>
      <c r="N110" s="8">
        <v>4.4506157618370228</v>
      </c>
    </row>
    <row r="111" spans="1:14" x14ac:dyDescent="0.25">
      <c r="A111" s="6" t="s">
        <v>1175</v>
      </c>
      <c r="B111" s="7" t="s">
        <v>1191</v>
      </c>
      <c r="C111" s="7" t="s">
        <v>1190</v>
      </c>
      <c r="D111" s="7" t="s">
        <v>1209</v>
      </c>
      <c r="E111" s="8">
        <v>432</v>
      </c>
      <c r="F111" s="8">
        <v>438</v>
      </c>
      <c r="G111" s="8">
        <v>369</v>
      </c>
      <c r="H111" s="8">
        <v>384</v>
      </c>
      <c r="I111" s="8">
        <v>372</v>
      </c>
      <c r="J111" s="8">
        <v>396</v>
      </c>
      <c r="K111" s="8">
        <v>408</v>
      </c>
      <c r="L111" s="8">
        <v>422</v>
      </c>
      <c r="M111" s="8">
        <v>450.45727499999998</v>
      </c>
      <c r="N111" s="8">
        <v>469.22975563636362</v>
      </c>
    </row>
    <row r="112" spans="1:14" x14ac:dyDescent="0.25">
      <c r="A112" s="6" t="s">
        <v>1157</v>
      </c>
      <c r="B112" s="7" t="s">
        <v>15</v>
      </c>
      <c r="C112" s="7" t="s">
        <v>16</v>
      </c>
      <c r="D112" s="7" t="s">
        <v>1209</v>
      </c>
      <c r="E112" s="8">
        <v>-2</v>
      </c>
      <c r="F112" s="8">
        <v>1.4000000000000001</v>
      </c>
      <c r="G112" s="8">
        <v>-15.9</v>
      </c>
      <c r="H112" s="8">
        <v>4.3</v>
      </c>
      <c r="I112" s="8">
        <v>-3.2</v>
      </c>
      <c r="J112" s="8">
        <v>6.4</v>
      </c>
      <c r="K112" s="8">
        <v>3.1</v>
      </c>
      <c r="L112" s="8">
        <v>3.4</v>
      </c>
      <c r="M112" s="8">
        <v>-6.8211297664240291</v>
      </c>
      <c r="N112" s="8">
        <v>4.5059378648535553</v>
      </c>
    </row>
    <row r="113" spans="1:14" x14ac:dyDescent="0.25">
      <c r="A113" s="6" t="s">
        <v>1173</v>
      </c>
      <c r="B113" s="7" t="s">
        <v>20</v>
      </c>
      <c r="C113" s="7" t="s">
        <v>21</v>
      </c>
      <c r="D113" s="7" t="s">
        <v>1208</v>
      </c>
      <c r="E113" s="8">
        <v>1148</v>
      </c>
      <c r="F113" s="8">
        <v>1214</v>
      </c>
      <c r="G113" s="8">
        <v>2618</v>
      </c>
      <c r="H113" s="8">
        <v>4916</v>
      </c>
      <c r="I113" s="8">
        <v>6652</v>
      </c>
      <c r="J113" s="8">
        <v>2518</v>
      </c>
      <c r="K113" s="8">
        <v>1940</v>
      </c>
      <c r="L113" s="8">
        <v>1538</v>
      </c>
      <c r="M113" s="8">
        <v>1446.7563932692308</v>
      </c>
      <c r="N113" s="8">
        <v>1576.135956402396</v>
      </c>
    </row>
    <row r="114" spans="1:14" x14ac:dyDescent="0.25">
      <c r="A114" s="6" t="s">
        <v>1157</v>
      </c>
      <c r="B114" s="7" t="s">
        <v>15</v>
      </c>
      <c r="C114" s="7" t="s">
        <v>16</v>
      </c>
      <c r="D114" s="7" t="s">
        <v>1208</v>
      </c>
      <c r="E114" s="8" t="s">
        <v>1483</v>
      </c>
      <c r="F114" s="8">
        <v>5.7</v>
      </c>
      <c r="G114" s="8">
        <v>115.7</v>
      </c>
      <c r="H114" s="8">
        <v>92.2</v>
      </c>
      <c r="I114" s="8">
        <v>34.4</v>
      </c>
      <c r="J114" s="8">
        <v>-4.8</v>
      </c>
      <c r="K114" s="8">
        <v>7.4</v>
      </c>
      <c r="L114" s="8">
        <v>-20.8</v>
      </c>
      <c r="M114" s="8">
        <v>-0.3465154353963445</v>
      </c>
      <c r="N114" s="8">
        <v>3.3542655880007941</v>
      </c>
    </row>
    <row r="115" spans="1:14" x14ac:dyDescent="0.25">
      <c r="A115" s="6" t="s">
        <v>1171</v>
      </c>
      <c r="B115" s="7" t="s">
        <v>20</v>
      </c>
      <c r="C115" s="7" t="s">
        <v>21</v>
      </c>
      <c r="D115" s="7" t="s">
        <v>1207</v>
      </c>
      <c r="E115" s="8">
        <v>5011</v>
      </c>
      <c r="F115" s="8">
        <v>5374</v>
      </c>
      <c r="G115" s="8">
        <v>4931</v>
      </c>
      <c r="H115" s="8">
        <v>6041</v>
      </c>
      <c r="I115" s="8">
        <v>6681</v>
      </c>
      <c r="J115" s="8">
        <v>7696</v>
      </c>
      <c r="K115" s="8">
        <v>8788</v>
      </c>
      <c r="L115" s="8">
        <v>9968</v>
      </c>
      <c r="M115" s="8">
        <v>11104.522793615692</v>
      </c>
      <c r="N115" s="8">
        <v>12298.788014113625</v>
      </c>
    </row>
    <row r="116" spans="1:14" x14ac:dyDescent="0.25">
      <c r="A116" s="6" t="s">
        <v>1181</v>
      </c>
      <c r="B116" s="7" t="s">
        <v>15</v>
      </c>
      <c r="C116" s="7" t="s">
        <v>16</v>
      </c>
      <c r="D116" s="7" t="s">
        <v>1207</v>
      </c>
      <c r="E116" s="8">
        <v>6.5</v>
      </c>
      <c r="F116" s="8">
        <v>7.2</v>
      </c>
      <c r="G116" s="8">
        <v>-8.1999999999999993</v>
      </c>
      <c r="H116" s="8">
        <v>20.100000000000001</v>
      </c>
      <c r="I116" s="8">
        <v>10.9</v>
      </c>
      <c r="J116" s="8">
        <v>13.3</v>
      </c>
      <c r="K116" s="8">
        <v>13.5</v>
      </c>
      <c r="L116" s="8">
        <v>13.4</v>
      </c>
      <c r="M116" s="8">
        <v>11.206446741772799</v>
      </c>
      <c r="N116" s="8">
        <v>10.484559179202154</v>
      </c>
    </row>
    <row r="117" spans="1:14" x14ac:dyDescent="0.25">
      <c r="A117" s="6" t="s">
        <v>1169</v>
      </c>
      <c r="B117" s="7" t="s">
        <v>20</v>
      </c>
      <c r="C117" s="7" t="s">
        <v>21</v>
      </c>
      <c r="D117" s="7" t="s">
        <v>1206</v>
      </c>
      <c r="E117" s="8">
        <v>1019</v>
      </c>
      <c r="F117" s="8">
        <v>1057</v>
      </c>
      <c r="G117" s="8">
        <v>903</v>
      </c>
      <c r="H117" s="8">
        <v>1018</v>
      </c>
      <c r="I117" s="8">
        <v>1029</v>
      </c>
      <c r="J117" s="8">
        <v>1085</v>
      </c>
      <c r="K117" s="8">
        <v>1154</v>
      </c>
      <c r="L117" s="8">
        <v>1334</v>
      </c>
      <c r="M117" s="8">
        <v>1472.1290219800267</v>
      </c>
      <c r="N117" s="8">
        <v>1564.0692921821806</v>
      </c>
    </row>
    <row r="118" spans="1:14" x14ac:dyDescent="0.25">
      <c r="A118" s="6" t="s">
        <v>1157</v>
      </c>
      <c r="B118" s="7" t="s">
        <v>15</v>
      </c>
      <c r="C118" s="7" t="s">
        <v>16</v>
      </c>
      <c r="D118" s="7" t="s">
        <v>1206</v>
      </c>
      <c r="E118" s="8">
        <v>-1.1000000000000001</v>
      </c>
      <c r="F118" s="8">
        <v>-4.4000000000000004</v>
      </c>
      <c r="G118" s="8">
        <v>-14.5</v>
      </c>
      <c r="H118" s="8">
        <v>12.7</v>
      </c>
      <c r="I118" s="8">
        <v>1.1000000000000001</v>
      </c>
      <c r="J118" s="8">
        <v>5.5</v>
      </c>
      <c r="K118" s="8">
        <v>6.3</v>
      </c>
      <c r="L118" s="8">
        <v>15.7</v>
      </c>
      <c r="M118" s="8">
        <v>9.7937752010999564</v>
      </c>
      <c r="N118" s="8">
        <v>6.0519059468679099</v>
      </c>
    </row>
    <row r="119" spans="1:14" x14ac:dyDescent="0.25">
      <c r="A119" s="6" t="s">
        <v>1167</v>
      </c>
      <c r="B119" s="7" t="s">
        <v>20</v>
      </c>
      <c r="C119" s="7" t="s">
        <v>21</v>
      </c>
      <c r="D119" s="7" t="s">
        <v>1205</v>
      </c>
      <c r="E119" s="8">
        <v>764</v>
      </c>
      <c r="F119" s="8">
        <v>742</v>
      </c>
      <c r="G119" s="8">
        <v>660</v>
      </c>
      <c r="H119" s="8">
        <v>778</v>
      </c>
      <c r="I119" s="8">
        <v>909</v>
      </c>
      <c r="J119" s="8">
        <v>1008</v>
      </c>
      <c r="K119" s="8">
        <v>1141</v>
      </c>
      <c r="L119" s="8">
        <v>1283</v>
      </c>
      <c r="M119" s="8">
        <v>1507.7699801113499</v>
      </c>
      <c r="N119" s="8">
        <v>1746.6727657398051</v>
      </c>
    </row>
    <row r="120" spans="1:14" x14ac:dyDescent="0.25">
      <c r="A120" s="6" t="s">
        <v>1157</v>
      </c>
      <c r="B120" s="7" t="s">
        <v>15</v>
      </c>
      <c r="C120" s="7" t="s">
        <v>16</v>
      </c>
      <c r="D120" s="7" t="s">
        <v>1205</v>
      </c>
      <c r="E120" s="8">
        <v>25.5</v>
      </c>
      <c r="F120" s="8">
        <v>9.5</v>
      </c>
      <c r="G120" s="8">
        <v>-11</v>
      </c>
      <c r="H120" s="8">
        <v>17.7</v>
      </c>
      <c r="I120" s="8">
        <v>17</v>
      </c>
      <c r="J120" s="8">
        <v>10.8</v>
      </c>
      <c r="K120" s="8">
        <v>13.2</v>
      </c>
      <c r="L120" s="8">
        <v>12.4</v>
      </c>
      <c r="M120" s="8">
        <v>16.806119149339615</v>
      </c>
      <c r="N120" s="8">
        <v>14.880304398637344</v>
      </c>
    </row>
    <row r="121" spans="1:14" x14ac:dyDescent="0.25">
      <c r="A121" s="6" t="s">
        <v>1165</v>
      </c>
      <c r="B121" s="7" t="s">
        <v>20</v>
      </c>
      <c r="C121" s="7" t="s">
        <v>21</v>
      </c>
      <c r="D121" s="7" t="s">
        <v>1204</v>
      </c>
      <c r="E121" s="8">
        <v>467</v>
      </c>
      <c r="F121" s="8">
        <v>574</v>
      </c>
      <c r="G121" s="8">
        <v>547</v>
      </c>
      <c r="H121" s="8">
        <v>772</v>
      </c>
      <c r="I121" s="8">
        <v>809</v>
      </c>
      <c r="J121" s="8">
        <v>888</v>
      </c>
      <c r="K121" s="8">
        <v>986</v>
      </c>
      <c r="L121" s="8">
        <v>1107</v>
      </c>
      <c r="M121" s="8">
        <v>1194.9347942307691</v>
      </c>
      <c r="N121" s="8">
        <v>1278.9676160500001</v>
      </c>
    </row>
    <row r="122" spans="1:14" x14ac:dyDescent="0.25">
      <c r="A122" s="6" t="s">
        <v>1157</v>
      </c>
      <c r="B122" s="7" t="s">
        <v>15</v>
      </c>
      <c r="C122" s="7" t="s">
        <v>16</v>
      </c>
      <c r="D122" s="7" t="s">
        <v>1204</v>
      </c>
      <c r="E122" s="8">
        <v>-4.8</v>
      </c>
      <c r="F122" s="8">
        <v>22.900000000000002</v>
      </c>
      <c r="G122" s="8">
        <v>-4.7</v>
      </c>
      <c r="H122" s="8">
        <v>19.5</v>
      </c>
      <c r="I122" s="8">
        <v>6.2</v>
      </c>
      <c r="J122" s="8">
        <v>9.6</v>
      </c>
      <c r="K122" s="8">
        <v>11.1</v>
      </c>
      <c r="L122" s="8">
        <v>12.2</v>
      </c>
      <c r="M122" s="8">
        <v>8.1738015190332121</v>
      </c>
      <c r="N122" s="8">
        <v>6.9449379532999957</v>
      </c>
    </row>
    <row r="123" spans="1:14" x14ac:dyDescent="0.25">
      <c r="A123" s="6" t="s">
        <v>42</v>
      </c>
      <c r="B123" s="7" t="s">
        <v>20</v>
      </c>
      <c r="C123" s="7" t="s">
        <v>21</v>
      </c>
      <c r="D123" s="7" t="s">
        <v>1203</v>
      </c>
      <c r="E123" s="8">
        <v>1126</v>
      </c>
      <c r="F123" s="8">
        <v>1047</v>
      </c>
      <c r="G123" s="8">
        <v>853</v>
      </c>
      <c r="H123" s="8">
        <v>915</v>
      </c>
      <c r="I123" s="8">
        <v>864</v>
      </c>
      <c r="J123" s="8">
        <v>978</v>
      </c>
      <c r="K123" s="8">
        <v>1056</v>
      </c>
      <c r="L123" s="8">
        <v>1118</v>
      </c>
      <c r="M123" s="8">
        <v>1181.7380028038117</v>
      </c>
      <c r="N123" s="8">
        <v>1217.8135971913209</v>
      </c>
    </row>
    <row r="124" spans="1:14" x14ac:dyDescent="0.25">
      <c r="A124" s="6" t="s">
        <v>1157</v>
      </c>
      <c r="B124" s="7" t="s">
        <v>15</v>
      </c>
      <c r="C124" s="7" t="s">
        <v>16</v>
      </c>
      <c r="D124" s="7" t="s">
        <v>1203</v>
      </c>
      <c r="E124" s="8">
        <v>-4</v>
      </c>
      <c r="F124" s="8">
        <v>-7</v>
      </c>
      <c r="G124" s="8">
        <v>-18.600000000000001</v>
      </c>
      <c r="H124" s="8">
        <v>7.4</v>
      </c>
      <c r="I124" s="8">
        <v>-5.6</v>
      </c>
      <c r="J124" s="8">
        <v>-1</v>
      </c>
      <c r="K124" s="8">
        <v>2.5</v>
      </c>
      <c r="L124" s="8">
        <v>5.8</v>
      </c>
      <c r="M124" s="8">
        <v>4.835464686006369</v>
      </c>
      <c r="N124" s="8">
        <v>3.9809829124020077</v>
      </c>
    </row>
    <row r="125" spans="1:14" x14ac:dyDescent="0.25">
      <c r="A125" s="6" t="s">
        <v>1162</v>
      </c>
      <c r="B125" s="7" t="s">
        <v>20</v>
      </c>
      <c r="C125" s="7" t="s">
        <v>21</v>
      </c>
      <c r="D125" s="7" t="s">
        <v>1202</v>
      </c>
      <c r="E125" s="8">
        <v>488</v>
      </c>
      <c r="F125" s="8">
        <v>616</v>
      </c>
      <c r="G125" s="8">
        <v>540</v>
      </c>
      <c r="H125" s="8">
        <v>730</v>
      </c>
      <c r="I125" s="8">
        <v>818</v>
      </c>
      <c r="J125" s="8">
        <v>883</v>
      </c>
      <c r="K125" s="8">
        <v>1051</v>
      </c>
      <c r="L125" s="8">
        <v>1172</v>
      </c>
      <c r="M125" s="8">
        <v>1291.0921699085911</v>
      </c>
      <c r="N125" s="8">
        <v>1421.4566746974492</v>
      </c>
    </row>
    <row r="126" spans="1:14" x14ac:dyDescent="0.25">
      <c r="A126" s="6" t="s">
        <v>1157</v>
      </c>
      <c r="B126" s="7" t="s">
        <v>15</v>
      </c>
      <c r="C126" s="7" t="s">
        <v>16</v>
      </c>
      <c r="D126" s="7" t="s">
        <v>1202</v>
      </c>
      <c r="E126" s="8">
        <v>12.9</v>
      </c>
      <c r="F126" s="8">
        <v>26.1</v>
      </c>
      <c r="G126" s="8">
        <v>-12.2</v>
      </c>
      <c r="H126" s="8">
        <v>35.1</v>
      </c>
      <c r="I126" s="8">
        <v>12</v>
      </c>
      <c r="J126" s="8">
        <v>7.9</v>
      </c>
      <c r="K126" s="8">
        <v>19</v>
      </c>
      <c r="L126" s="8">
        <v>11.5</v>
      </c>
      <c r="M126" s="8">
        <v>10.326759761185469</v>
      </c>
      <c r="N126" s="8">
        <v>10.726373673139278</v>
      </c>
    </row>
    <row r="127" spans="1:14" x14ac:dyDescent="0.25">
      <c r="A127" s="6" t="s">
        <v>1160</v>
      </c>
      <c r="B127" s="7" t="s">
        <v>20</v>
      </c>
      <c r="C127" s="7" t="s">
        <v>21</v>
      </c>
      <c r="D127" s="7" t="s">
        <v>1201</v>
      </c>
      <c r="E127" s="8">
        <v>690</v>
      </c>
      <c r="F127" s="8">
        <v>660</v>
      </c>
      <c r="G127" s="8">
        <v>564</v>
      </c>
      <c r="H127" s="8">
        <v>616</v>
      </c>
      <c r="I127" s="8">
        <v>619</v>
      </c>
      <c r="J127" s="8">
        <v>725</v>
      </c>
      <c r="K127" s="8">
        <v>767</v>
      </c>
      <c r="L127" s="8">
        <v>773</v>
      </c>
      <c r="M127" s="8">
        <v>798.557617530323</v>
      </c>
      <c r="N127" s="8">
        <v>828.57965322520124</v>
      </c>
    </row>
    <row r="128" spans="1:14" x14ac:dyDescent="0.25">
      <c r="A128" s="6" t="s">
        <v>1157</v>
      </c>
      <c r="B128" s="7" t="s">
        <v>15</v>
      </c>
      <c r="C128" s="7" t="s">
        <v>16</v>
      </c>
      <c r="D128" s="7" t="s">
        <v>1201</v>
      </c>
      <c r="E128" s="8">
        <v>8.3000000000000007</v>
      </c>
      <c r="F128" s="8">
        <v>-4.2</v>
      </c>
      <c r="G128" s="8">
        <v>-14.6</v>
      </c>
      <c r="H128" s="8">
        <v>9.3000000000000007</v>
      </c>
      <c r="I128" s="8">
        <v>0.3</v>
      </c>
      <c r="J128" s="8">
        <v>17.2</v>
      </c>
      <c r="K128" s="8">
        <v>5.9</v>
      </c>
      <c r="L128" s="8">
        <v>0.8</v>
      </c>
      <c r="M128" s="8">
        <v>3.3089733808028177</v>
      </c>
      <c r="N128" s="8">
        <v>3.6303515258449934</v>
      </c>
    </row>
    <row r="129" spans="1:14" x14ac:dyDescent="0.25">
      <c r="A129" s="6" t="s">
        <v>1158</v>
      </c>
      <c r="B129" s="7" t="s">
        <v>20</v>
      </c>
      <c r="C129" s="7" t="s">
        <v>21</v>
      </c>
      <c r="D129" s="7" t="s">
        <v>1200</v>
      </c>
      <c r="E129" s="8">
        <v>457</v>
      </c>
      <c r="F129" s="8">
        <v>678</v>
      </c>
      <c r="G129" s="8">
        <v>864</v>
      </c>
      <c r="H129" s="8">
        <v>1212</v>
      </c>
      <c r="I129" s="8">
        <v>1633</v>
      </c>
      <c r="J129" s="8">
        <v>2129</v>
      </c>
      <c r="K129" s="8">
        <v>2633</v>
      </c>
      <c r="L129" s="8">
        <v>3181</v>
      </c>
      <c r="M129" s="8">
        <v>3659.9609445881115</v>
      </c>
      <c r="N129" s="8">
        <v>4209.8326080823981</v>
      </c>
    </row>
    <row r="130" spans="1:14" x14ac:dyDescent="0.25">
      <c r="A130" s="6" t="s">
        <v>1157</v>
      </c>
      <c r="B130" s="7" t="s">
        <v>15</v>
      </c>
      <c r="C130" s="7" t="s">
        <v>16</v>
      </c>
      <c r="D130" s="7" t="s">
        <v>1200</v>
      </c>
      <c r="E130" s="8">
        <v>37.700000000000003</v>
      </c>
      <c r="F130" s="8">
        <v>48.300000000000004</v>
      </c>
      <c r="G130" s="8">
        <v>27.4</v>
      </c>
      <c r="H130" s="8">
        <v>40.299999999999997</v>
      </c>
      <c r="I130" s="8">
        <v>34.799999999999997</v>
      </c>
      <c r="J130" s="8">
        <v>30.3</v>
      </c>
      <c r="K130" s="8">
        <v>23.6</v>
      </c>
      <c r="L130" s="8">
        <v>20.8</v>
      </c>
      <c r="M130" s="8">
        <v>15.012768872079743</v>
      </c>
      <c r="N130" s="8">
        <v>14.612218096660328</v>
      </c>
    </row>
    <row r="131" spans="1:14" x14ac:dyDescent="0.25">
      <c r="A131" s="6" t="s">
        <v>1199</v>
      </c>
      <c r="B131" s="7" t="s">
        <v>20</v>
      </c>
      <c r="C131" s="7" t="s">
        <v>21</v>
      </c>
      <c r="D131" s="7" t="s">
        <v>1198</v>
      </c>
      <c r="E131" s="8">
        <v>36</v>
      </c>
      <c r="F131" s="8">
        <v>27</v>
      </c>
      <c r="G131" s="8">
        <v>38</v>
      </c>
      <c r="H131" s="8">
        <v>34</v>
      </c>
      <c r="I131" s="8">
        <v>11</v>
      </c>
      <c r="J131" s="8">
        <v>14</v>
      </c>
      <c r="K131" s="8">
        <v>16</v>
      </c>
      <c r="L131" s="8" t="s">
        <v>1483</v>
      </c>
      <c r="M131" s="8">
        <v>16.375357142857144</v>
      </c>
      <c r="N131" s="8">
        <v>16.079197765596227</v>
      </c>
    </row>
    <row r="132" spans="1:14" x14ac:dyDescent="0.25">
      <c r="A132" s="6" t="s">
        <v>17</v>
      </c>
      <c r="B132" s="7"/>
      <c r="C132" s="7"/>
      <c r="D132" s="7"/>
      <c r="E132" s="8"/>
      <c r="F132" s="8"/>
      <c r="G132" s="8"/>
      <c r="H132" s="8"/>
      <c r="I132" s="8"/>
      <c r="J132" s="8"/>
      <c r="K132" s="8"/>
      <c r="L132" s="8"/>
      <c r="M132" s="8"/>
      <c r="N132" s="8"/>
    </row>
    <row r="133" spans="1:14" x14ac:dyDescent="0.25">
      <c r="A133" s="6" t="s">
        <v>112</v>
      </c>
      <c r="B133" s="7"/>
      <c r="C133" s="7"/>
      <c r="D133" s="7"/>
      <c r="E133" s="8"/>
      <c r="F133" s="8"/>
      <c r="G133" s="8"/>
      <c r="H133" s="8"/>
      <c r="I133" s="8"/>
      <c r="J133" s="8"/>
      <c r="K133" s="8"/>
      <c r="L133" s="8"/>
      <c r="M133" s="8"/>
      <c r="N133" s="8"/>
    </row>
    <row r="134" spans="1:14" x14ac:dyDescent="0.25">
      <c r="A134" s="6" t="s">
        <v>19</v>
      </c>
      <c r="B134" s="7" t="s">
        <v>20</v>
      </c>
      <c r="C134" s="7" t="s">
        <v>21</v>
      </c>
      <c r="D134" s="7" t="s">
        <v>1197</v>
      </c>
      <c r="E134" s="8">
        <v>19739</v>
      </c>
      <c r="F134" s="8">
        <v>20506</v>
      </c>
      <c r="G134" s="8">
        <v>21586</v>
      </c>
      <c r="H134" s="8">
        <v>26433</v>
      </c>
      <c r="I134" s="8">
        <v>25511</v>
      </c>
      <c r="J134" s="8">
        <v>24657</v>
      </c>
      <c r="K134" s="8">
        <v>25627</v>
      </c>
      <c r="L134" s="8">
        <v>27202</v>
      </c>
      <c r="M134" s="8">
        <v>29424.989449701563</v>
      </c>
      <c r="N134" s="8">
        <v>31473.03943467022</v>
      </c>
    </row>
    <row r="135" spans="1:14" x14ac:dyDescent="0.25">
      <c r="A135" s="6" t="s">
        <v>1196</v>
      </c>
      <c r="B135" s="7" t="s">
        <v>20</v>
      </c>
      <c r="C135" s="7" t="s">
        <v>21</v>
      </c>
      <c r="D135" s="7" t="s">
        <v>1195</v>
      </c>
      <c r="E135" s="8">
        <v>4422</v>
      </c>
      <c r="F135" s="8">
        <v>4486</v>
      </c>
      <c r="G135" s="8">
        <v>4303</v>
      </c>
      <c r="H135" s="8">
        <v>4718</v>
      </c>
      <c r="I135" s="8">
        <v>4912</v>
      </c>
      <c r="J135" s="8">
        <v>5066</v>
      </c>
      <c r="K135" s="8">
        <v>5194</v>
      </c>
      <c r="L135" s="8">
        <v>5536</v>
      </c>
      <c r="M135" s="8">
        <v>6037.1040742625009</v>
      </c>
      <c r="N135" s="8">
        <v>6467.8136559083396</v>
      </c>
    </row>
    <row r="136" spans="1:14" x14ac:dyDescent="0.25">
      <c r="A136" s="6" t="s">
        <v>1194</v>
      </c>
      <c r="B136" s="7" t="s">
        <v>20</v>
      </c>
      <c r="C136" s="7" t="s">
        <v>21</v>
      </c>
      <c r="D136" s="7" t="s">
        <v>1193</v>
      </c>
      <c r="E136" s="8">
        <v>3363</v>
      </c>
      <c r="F136" s="8">
        <v>3392</v>
      </c>
      <c r="G136" s="8">
        <v>3209</v>
      </c>
      <c r="H136" s="8">
        <v>3565</v>
      </c>
      <c r="I136" s="8">
        <v>3766</v>
      </c>
      <c r="J136" s="8">
        <v>3807</v>
      </c>
      <c r="K136" s="8">
        <v>3858</v>
      </c>
      <c r="L136" s="8">
        <v>4167</v>
      </c>
      <c r="M136" s="8">
        <v>4581.5344528420246</v>
      </c>
      <c r="N136" s="8">
        <v>4927.9758297511844</v>
      </c>
    </row>
    <row r="137" spans="1:14" x14ac:dyDescent="0.25">
      <c r="A137" s="6" t="s">
        <v>1157</v>
      </c>
      <c r="B137" s="7" t="s">
        <v>15</v>
      </c>
      <c r="C137" s="7" t="s">
        <v>16</v>
      </c>
      <c r="D137" s="7" t="s">
        <v>1193</v>
      </c>
      <c r="E137" s="8">
        <v>7.4</v>
      </c>
      <c r="F137" s="8">
        <v>7.9</v>
      </c>
      <c r="G137" s="8">
        <v>2.6</v>
      </c>
      <c r="H137" s="8">
        <v>11.9</v>
      </c>
      <c r="I137" s="8">
        <v>11.8</v>
      </c>
      <c r="J137" s="8">
        <v>10.3</v>
      </c>
      <c r="K137" s="8">
        <v>9.5</v>
      </c>
      <c r="L137" s="8">
        <v>9.5</v>
      </c>
      <c r="M137" s="8">
        <v>8.7209710672721918</v>
      </c>
      <c r="N137" s="8">
        <v>7.5225051735821715</v>
      </c>
    </row>
    <row r="138" spans="1:14" x14ac:dyDescent="0.25">
      <c r="A138" s="6" t="s">
        <v>1192</v>
      </c>
      <c r="B138" s="7" t="s">
        <v>1191</v>
      </c>
      <c r="C138" s="7" t="s">
        <v>1190</v>
      </c>
      <c r="D138" s="7" t="s">
        <v>1189</v>
      </c>
      <c r="E138" s="8">
        <v>1059</v>
      </c>
      <c r="F138" s="8">
        <v>1094</v>
      </c>
      <c r="G138" s="8">
        <v>1094</v>
      </c>
      <c r="H138" s="8">
        <v>1179</v>
      </c>
      <c r="I138" s="8">
        <v>1184</v>
      </c>
      <c r="J138" s="8">
        <v>1259</v>
      </c>
      <c r="K138" s="8">
        <v>1336</v>
      </c>
      <c r="L138" s="8">
        <v>1369</v>
      </c>
      <c r="M138" s="8">
        <v>1462.9223358772369</v>
      </c>
      <c r="N138" s="8">
        <v>1548.9445801828551</v>
      </c>
    </row>
    <row r="139" spans="1:14" x14ac:dyDescent="0.25">
      <c r="A139" s="6" t="s">
        <v>1157</v>
      </c>
      <c r="B139" s="7" t="s">
        <v>15</v>
      </c>
      <c r="C139" s="7" t="s">
        <v>16</v>
      </c>
      <c r="D139" s="7" t="s">
        <v>1189</v>
      </c>
      <c r="E139" s="8">
        <v>5.8</v>
      </c>
      <c r="F139" s="8">
        <v>5.6000000000000005</v>
      </c>
      <c r="G139" s="8">
        <v>-0.5</v>
      </c>
      <c r="H139" s="8">
        <v>6</v>
      </c>
      <c r="I139" s="8">
        <v>7.3</v>
      </c>
      <c r="J139" s="8">
        <v>12.8</v>
      </c>
      <c r="K139" s="8">
        <v>8.4</v>
      </c>
      <c r="L139" s="8">
        <v>1.4</v>
      </c>
      <c r="M139" s="8">
        <v>6.6043824510168481</v>
      </c>
      <c r="N139" s="8">
        <v>5.7499999999999991</v>
      </c>
    </row>
    <row r="140" spans="1:14" x14ac:dyDescent="0.25">
      <c r="A140" s="6" t="s">
        <v>1188</v>
      </c>
      <c r="B140" s="7" t="s">
        <v>20</v>
      </c>
      <c r="C140" s="7" t="s">
        <v>21</v>
      </c>
      <c r="D140" s="7" t="s">
        <v>1187</v>
      </c>
      <c r="E140" s="8">
        <v>4154</v>
      </c>
      <c r="F140" s="8">
        <v>4299</v>
      </c>
      <c r="G140" s="8">
        <v>4368</v>
      </c>
      <c r="H140" s="8">
        <v>4738</v>
      </c>
      <c r="I140" s="8">
        <v>4540</v>
      </c>
      <c r="J140" s="8">
        <v>4741</v>
      </c>
      <c r="K140" s="8">
        <v>4724</v>
      </c>
      <c r="L140" s="8">
        <v>4845</v>
      </c>
      <c r="M140" s="8">
        <v>5009.6772288674265</v>
      </c>
      <c r="N140" s="8">
        <v>5209.164801515074</v>
      </c>
    </row>
    <row r="141" spans="1:14" x14ac:dyDescent="0.25">
      <c r="A141" s="6" t="s">
        <v>1181</v>
      </c>
      <c r="B141" s="7" t="s">
        <v>15</v>
      </c>
      <c r="C141" s="7" t="s">
        <v>16</v>
      </c>
      <c r="D141" s="7" t="s">
        <v>1187</v>
      </c>
      <c r="E141" s="8">
        <v>7.6</v>
      </c>
      <c r="F141" s="8">
        <v>7.5</v>
      </c>
      <c r="G141" s="8">
        <v>4.2</v>
      </c>
      <c r="H141" s="8">
        <v>7.1</v>
      </c>
      <c r="I141" s="8">
        <v>2.5</v>
      </c>
      <c r="J141" s="8">
        <v>10.4</v>
      </c>
      <c r="K141" s="8">
        <v>4.4000000000000004</v>
      </c>
      <c r="L141" s="8">
        <v>3.7</v>
      </c>
      <c r="M141" s="8">
        <v>0.95770731402633624</v>
      </c>
      <c r="N141" s="8">
        <v>3.5208870862014372</v>
      </c>
    </row>
    <row r="142" spans="1:14" x14ac:dyDescent="0.25">
      <c r="A142" s="6" t="s">
        <v>1186</v>
      </c>
      <c r="B142" s="7" t="s">
        <v>20</v>
      </c>
      <c r="C142" s="7" t="s">
        <v>21</v>
      </c>
      <c r="D142" s="7" t="s">
        <v>1185</v>
      </c>
      <c r="E142" s="8">
        <v>2254</v>
      </c>
      <c r="F142" s="8">
        <v>2282</v>
      </c>
      <c r="G142" s="8">
        <v>2140</v>
      </c>
      <c r="H142" s="8">
        <v>2106</v>
      </c>
      <c r="I142" s="8">
        <v>1919</v>
      </c>
      <c r="J142" s="8">
        <v>1957</v>
      </c>
      <c r="K142" s="8">
        <v>1815</v>
      </c>
      <c r="L142" s="8">
        <v>1816</v>
      </c>
      <c r="M142" s="8">
        <v>1867.2545027807382</v>
      </c>
      <c r="N142" s="8">
        <v>1914.0390789534349</v>
      </c>
    </row>
    <row r="143" spans="1:14" x14ac:dyDescent="0.25">
      <c r="A143" s="6" t="s">
        <v>1157</v>
      </c>
      <c r="B143" s="7" t="s">
        <v>15</v>
      </c>
      <c r="C143" s="7" t="s">
        <v>16</v>
      </c>
      <c r="D143" s="7" t="s">
        <v>1185</v>
      </c>
      <c r="E143" s="8">
        <v>7.2</v>
      </c>
      <c r="F143" s="8">
        <v>4.6000000000000005</v>
      </c>
      <c r="G143" s="8">
        <v>-4.0999999999999996</v>
      </c>
      <c r="H143" s="8">
        <v>-3.2</v>
      </c>
      <c r="I143" s="8">
        <v>-3.9</v>
      </c>
      <c r="J143" s="8">
        <v>10.3</v>
      </c>
      <c r="K143" s="8">
        <v>-4.3</v>
      </c>
      <c r="L143" s="8">
        <v>1.3</v>
      </c>
      <c r="M143" s="8">
        <v>1.7449008244190864</v>
      </c>
      <c r="N143" s="8">
        <v>2.541107223987475</v>
      </c>
    </row>
    <row r="144" spans="1:14" x14ac:dyDescent="0.25">
      <c r="A144" s="6" t="s">
        <v>1184</v>
      </c>
      <c r="B144" s="7" t="s">
        <v>20</v>
      </c>
      <c r="C144" s="7" t="s">
        <v>21</v>
      </c>
      <c r="D144" s="7" t="s">
        <v>1183</v>
      </c>
      <c r="E144" s="8">
        <v>1900</v>
      </c>
      <c r="F144" s="8">
        <v>2017</v>
      </c>
      <c r="G144" s="8">
        <v>2228</v>
      </c>
      <c r="H144" s="8">
        <v>2632</v>
      </c>
      <c r="I144" s="8">
        <v>2621</v>
      </c>
      <c r="J144" s="8">
        <v>2784</v>
      </c>
      <c r="K144" s="8">
        <v>2909</v>
      </c>
      <c r="L144" s="8">
        <v>3029</v>
      </c>
      <c r="M144" s="8">
        <v>3109.9499459717345</v>
      </c>
      <c r="N144" s="8">
        <v>3243.3565349796704</v>
      </c>
    </row>
    <row r="145" spans="1:14" x14ac:dyDescent="0.25">
      <c r="A145" s="6" t="s">
        <v>1157</v>
      </c>
      <c r="B145" s="7" t="s">
        <v>15</v>
      </c>
      <c r="C145" s="7" t="s">
        <v>16</v>
      </c>
      <c r="D145" s="7" t="s">
        <v>1183</v>
      </c>
      <c r="E145" s="8">
        <v>8</v>
      </c>
      <c r="F145" s="8">
        <v>10.9</v>
      </c>
      <c r="G145" s="8">
        <v>13.6</v>
      </c>
      <c r="H145" s="8">
        <v>17</v>
      </c>
      <c r="I145" s="8">
        <v>7.6</v>
      </c>
      <c r="J145" s="8">
        <v>10.4</v>
      </c>
      <c r="K145" s="8">
        <v>10.5</v>
      </c>
      <c r="L145" s="8">
        <v>5.0999999999999996</v>
      </c>
      <c r="M145" s="8">
        <v>1.5144351118983601</v>
      </c>
      <c r="N145" s="8">
        <v>4.4321906727260965</v>
      </c>
    </row>
    <row r="146" spans="1:14" x14ac:dyDescent="0.25">
      <c r="A146" s="6" t="s">
        <v>1182</v>
      </c>
      <c r="B146" s="7" t="s">
        <v>20</v>
      </c>
      <c r="C146" s="7" t="s">
        <v>21</v>
      </c>
      <c r="D146" s="7" t="s">
        <v>1180</v>
      </c>
      <c r="E146" s="8">
        <v>4778</v>
      </c>
      <c r="F146" s="8">
        <v>4826</v>
      </c>
      <c r="G146" s="8">
        <v>6031</v>
      </c>
      <c r="H146" s="8">
        <v>8515</v>
      </c>
      <c r="I146" s="8">
        <v>7938</v>
      </c>
      <c r="J146" s="8">
        <v>5659</v>
      </c>
      <c r="K146" s="8">
        <v>5511</v>
      </c>
      <c r="L146" s="8">
        <v>5402</v>
      </c>
      <c r="M146" s="8">
        <v>5667.0945311793648</v>
      </c>
      <c r="N146" s="8">
        <v>5936.9931393463066</v>
      </c>
    </row>
    <row r="147" spans="1:14" x14ac:dyDescent="0.25">
      <c r="A147" s="6" t="s">
        <v>1181</v>
      </c>
      <c r="B147" s="7" t="s">
        <v>15</v>
      </c>
      <c r="C147" s="7" t="s">
        <v>16</v>
      </c>
      <c r="D147" s="7" t="s">
        <v>1180</v>
      </c>
      <c r="E147" s="8">
        <v>8.3000000000000007</v>
      </c>
      <c r="F147" s="8">
        <v>5.7</v>
      </c>
      <c r="G147" s="8">
        <v>25.8</v>
      </c>
      <c r="H147" s="8">
        <v>37.4</v>
      </c>
      <c r="I147" s="8">
        <v>1.3</v>
      </c>
      <c r="J147" s="8">
        <v>8.5</v>
      </c>
      <c r="K147" s="8">
        <v>4.5</v>
      </c>
      <c r="L147" s="8">
        <v>-2.2999999999999998</v>
      </c>
      <c r="M147" s="8">
        <v>3.9964382704961396</v>
      </c>
      <c r="N147" s="8">
        <v>5.181005332415519</v>
      </c>
    </row>
    <row r="148" spans="1:14" x14ac:dyDescent="0.25">
      <c r="A148" s="6" t="s">
        <v>1179</v>
      </c>
      <c r="B148" s="7" t="s">
        <v>20</v>
      </c>
      <c r="C148" s="7" t="s">
        <v>21</v>
      </c>
      <c r="D148" s="7" t="s">
        <v>1178</v>
      </c>
      <c r="E148" s="8">
        <v>3401</v>
      </c>
      <c r="F148" s="8">
        <v>3570</v>
      </c>
      <c r="G148" s="8">
        <v>3309</v>
      </c>
      <c r="H148" s="8">
        <v>3983</v>
      </c>
      <c r="I148" s="8">
        <v>3751</v>
      </c>
      <c r="J148" s="8">
        <v>3916</v>
      </c>
      <c r="K148" s="8">
        <v>3903</v>
      </c>
      <c r="L148" s="8">
        <v>3935</v>
      </c>
      <c r="M148" s="8">
        <v>4156.1460697123175</v>
      </c>
      <c r="N148" s="8">
        <v>4359.2433296645613</v>
      </c>
    </row>
    <row r="149" spans="1:14" x14ac:dyDescent="0.25">
      <c r="A149" s="6" t="s">
        <v>1157</v>
      </c>
      <c r="B149" s="7" t="s">
        <v>15</v>
      </c>
      <c r="C149" s="7" t="s">
        <v>16</v>
      </c>
      <c r="D149" s="7" t="s">
        <v>1178</v>
      </c>
      <c r="E149" s="8">
        <v>8.3000000000000007</v>
      </c>
      <c r="F149" s="8">
        <v>9.9</v>
      </c>
      <c r="G149" s="8">
        <v>-5.9</v>
      </c>
      <c r="H149" s="8">
        <v>17.399999999999999</v>
      </c>
      <c r="I149" s="8">
        <v>2.7</v>
      </c>
      <c r="J149" s="8">
        <v>9.1</v>
      </c>
      <c r="K149" s="8">
        <v>5.3</v>
      </c>
      <c r="L149" s="8">
        <v>0.4</v>
      </c>
      <c r="M149" s="8">
        <v>4.5335240756020223</v>
      </c>
      <c r="N149" s="8">
        <v>5.3671052388924778</v>
      </c>
    </row>
    <row r="150" spans="1:14" x14ac:dyDescent="0.25">
      <c r="A150" s="6" t="s">
        <v>1177</v>
      </c>
      <c r="B150" s="7" t="s">
        <v>20</v>
      </c>
      <c r="C150" s="7" t="s">
        <v>21</v>
      </c>
      <c r="D150" s="7" t="s">
        <v>1176</v>
      </c>
      <c r="E150" s="8">
        <v>332</v>
      </c>
      <c r="F150" s="8">
        <v>293</v>
      </c>
      <c r="G150" s="8">
        <v>817</v>
      </c>
      <c r="H150" s="8">
        <v>861</v>
      </c>
      <c r="I150" s="8">
        <v>625</v>
      </c>
      <c r="J150" s="8">
        <v>402</v>
      </c>
      <c r="K150" s="8">
        <v>371</v>
      </c>
      <c r="L150" s="8">
        <v>367</v>
      </c>
      <c r="M150" s="8">
        <v>382.07896864596296</v>
      </c>
      <c r="N150" s="8">
        <v>397.95038747719309</v>
      </c>
    </row>
    <row r="151" spans="1:14" x14ac:dyDescent="0.25">
      <c r="A151" s="6" t="s">
        <v>1157</v>
      </c>
      <c r="B151" s="7" t="s">
        <v>15</v>
      </c>
      <c r="C151" s="7" t="s">
        <v>16</v>
      </c>
      <c r="D151" s="7" t="s">
        <v>1176</v>
      </c>
      <c r="E151" s="8">
        <v>9.1</v>
      </c>
      <c r="F151" s="8">
        <v>-8.4</v>
      </c>
      <c r="G151" s="8">
        <v>179.9</v>
      </c>
      <c r="H151" s="8">
        <v>1.7</v>
      </c>
      <c r="I151" s="8">
        <v>-22.6</v>
      </c>
      <c r="J151" s="8">
        <v>-3.8</v>
      </c>
      <c r="K151" s="8">
        <v>-2.8</v>
      </c>
      <c r="L151" s="8">
        <v>-1.8</v>
      </c>
      <c r="M151" s="8">
        <v>4.4279246442310045</v>
      </c>
      <c r="N151" s="8">
        <v>3.9738614069967966</v>
      </c>
    </row>
    <row r="152" spans="1:14" x14ac:dyDescent="0.25">
      <c r="A152" s="6" t="s">
        <v>1175</v>
      </c>
      <c r="B152" s="7" t="s">
        <v>20</v>
      </c>
      <c r="C152" s="7" t="s">
        <v>21</v>
      </c>
      <c r="D152" s="7" t="s">
        <v>1174</v>
      </c>
      <c r="E152" s="8">
        <v>121</v>
      </c>
      <c r="F152" s="8">
        <v>123</v>
      </c>
      <c r="G152" s="8">
        <v>147</v>
      </c>
      <c r="H152" s="8">
        <v>152</v>
      </c>
      <c r="I152" s="8">
        <v>153</v>
      </c>
      <c r="J152" s="8">
        <v>169</v>
      </c>
      <c r="K152" s="8">
        <v>180</v>
      </c>
      <c r="L152" s="8">
        <v>184</v>
      </c>
      <c r="M152" s="8">
        <v>200.49260577423408</v>
      </c>
      <c r="N152" s="8">
        <v>209.69288723304587</v>
      </c>
    </row>
    <row r="153" spans="1:14" x14ac:dyDescent="0.25">
      <c r="A153" s="6" t="s">
        <v>1157</v>
      </c>
      <c r="B153" s="7" t="s">
        <v>15</v>
      </c>
      <c r="C153" s="7" t="s">
        <v>16</v>
      </c>
      <c r="D153" s="7" t="s">
        <v>1174</v>
      </c>
      <c r="E153" s="8">
        <v>9.1999999999999993</v>
      </c>
      <c r="F153" s="8">
        <v>3.9</v>
      </c>
      <c r="G153" s="8">
        <v>20.6</v>
      </c>
      <c r="H153" s="8">
        <v>0.3</v>
      </c>
      <c r="I153" s="8">
        <v>6</v>
      </c>
      <c r="J153" s="8">
        <v>10.8</v>
      </c>
      <c r="K153" s="8">
        <v>6.5</v>
      </c>
      <c r="L153" s="8">
        <v>2.4</v>
      </c>
      <c r="M153" s="8">
        <v>7.0029414040553766</v>
      </c>
      <c r="N153" s="8">
        <v>4.5857142857142881</v>
      </c>
    </row>
    <row r="154" spans="1:14" x14ac:dyDescent="0.25">
      <c r="A154" s="6" t="s">
        <v>1173</v>
      </c>
      <c r="B154" s="7" t="s">
        <v>20</v>
      </c>
      <c r="C154" s="7" t="s">
        <v>21</v>
      </c>
      <c r="D154" s="7" t="s">
        <v>1172</v>
      </c>
      <c r="E154" s="8">
        <v>924</v>
      </c>
      <c r="F154" s="8">
        <v>840</v>
      </c>
      <c r="G154" s="8">
        <v>1758</v>
      </c>
      <c r="H154" s="8">
        <v>3519</v>
      </c>
      <c r="I154" s="8">
        <v>3409</v>
      </c>
      <c r="J154" s="8">
        <v>1172</v>
      </c>
      <c r="K154" s="8">
        <v>1057</v>
      </c>
      <c r="L154" s="8">
        <v>916</v>
      </c>
      <c r="M154" s="8">
        <v>877.31125090795967</v>
      </c>
      <c r="N154" s="8">
        <v>957.97077788105435</v>
      </c>
    </row>
    <row r="155" spans="1:14" x14ac:dyDescent="0.25">
      <c r="A155" s="6" t="s">
        <v>1157</v>
      </c>
      <c r="B155" s="7" t="s">
        <v>15</v>
      </c>
      <c r="C155" s="7" t="s">
        <v>16</v>
      </c>
      <c r="D155" s="7" t="s">
        <v>1172</v>
      </c>
      <c r="E155" s="8" t="s">
        <v>1483</v>
      </c>
      <c r="F155" s="8">
        <v>-4.4000000000000004</v>
      </c>
      <c r="G155" s="8">
        <v>107.4</v>
      </c>
      <c r="H155" s="8">
        <v>95</v>
      </c>
      <c r="I155" s="8">
        <v>5.4</v>
      </c>
      <c r="J155" s="8">
        <v>11.6</v>
      </c>
      <c r="K155" s="8">
        <v>3.8</v>
      </c>
      <c r="L155" s="8">
        <v>-13.1</v>
      </c>
      <c r="M155" s="8">
        <v>-0.56132449487486602</v>
      </c>
      <c r="N155" s="8">
        <v>3.0504977487877172</v>
      </c>
    </row>
    <row r="156" spans="1:14" x14ac:dyDescent="0.25">
      <c r="A156" s="6" t="s">
        <v>1171</v>
      </c>
      <c r="B156" s="7" t="s">
        <v>20</v>
      </c>
      <c r="C156" s="7" t="s">
        <v>21</v>
      </c>
      <c r="D156" s="7" t="s">
        <v>1170</v>
      </c>
      <c r="E156" s="8">
        <v>6359</v>
      </c>
      <c r="F156" s="8">
        <v>6865</v>
      </c>
      <c r="G156" s="8">
        <v>6856</v>
      </c>
      <c r="H156" s="8">
        <v>8444</v>
      </c>
      <c r="I156" s="8">
        <v>8121</v>
      </c>
      <c r="J156" s="8">
        <v>9191</v>
      </c>
      <c r="K156" s="8">
        <v>10198</v>
      </c>
      <c r="L156" s="8">
        <v>11419</v>
      </c>
      <c r="M156" s="8">
        <v>12713.474570141807</v>
      </c>
      <c r="N156" s="8">
        <v>13848.563719508726</v>
      </c>
    </row>
    <row r="157" spans="1:14" x14ac:dyDescent="0.25">
      <c r="A157" s="6" t="s">
        <v>1169</v>
      </c>
      <c r="B157" s="7" t="s">
        <v>20</v>
      </c>
      <c r="C157" s="7" t="s">
        <v>21</v>
      </c>
      <c r="D157" s="7" t="s">
        <v>1168</v>
      </c>
      <c r="E157" s="8">
        <v>1072</v>
      </c>
      <c r="F157" s="8">
        <v>1087</v>
      </c>
      <c r="G157" s="8">
        <v>1011</v>
      </c>
      <c r="H157" s="8">
        <v>1180</v>
      </c>
      <c r="I157" s="8">
        <v>1090</v>
      </c>
      <c r="J157" s="8">
        <v>1170</v>
      </c>
      <c r="K157" s="8">
        <v>1236</v>
      </c>
      <c r="L157" s="8">
        <v>1315</v>
      </c>
      <c r="M157" s="8">
        <v>1418.6195406532863</v>
      </c>
      <c r="N157" s="8">
        <v>1486.5814778599415</v>
      </c>
    </row>
    <row r="158" spans="1:14" x14ac:dyDescent="0.25">
      <c r="A158" s="6" t="s">
        <v>1157</v>
      </c>
      <c r="B158" s="7" t="s">
        <v>15</v>
      </c>
      <c r="C158" s="7" t="s">
        <v>16</v>
      </c>
      <c r="D158" s="7" t="s">
        <v>1168</v>
      </c>
      <c r="E158" s="8">
        <v>-1.9</v>
      </c>
      <c r="F158" s="8">
        <v>4.4000000000000004</v>
      </c>
      <c r="G158" s="8">
        <v>-7.2</v>
      </c>
      <c r="H158" s="8">
        <v>12.7</v>
      </c>
      <c r="I158" s="8">
        <v>1.9</v>
      </c>
      <c r="J158" s="8">
        <v>9.4</v>
      </c>
      <c r="K158" s="8">
        <v>7.5</v>
      </c>
      <c r="L158" s="8">
        <v>5</v>
      </c>
      <c r="M158" s="8">
        <v>7.1515750995035523</v>
      </c>
      <c r="N158" s="8">
        <v>4.8603110880248863</v>
      </c>
    </row>
    <row r="159" spans="1:14" x14ac:dyDescent="0.25">
      <c r="A159" s="6" t="s">
        <v>1167</v>
      </c>
      <c r="B159" s="7" t="s">
        <v>20</v>
      </c>
      <c r="C159" s="7" t="s">
        <v>21</v>
      </c>
      <c r="D159" s="7" t="s">
        <v>1166</v>
      </c>
      <c r="E159" s="8">
        <v>904</v>
      </c>
      <c r="F159" s="8">
        <v>979</v>
      </c>
      <c r="G159" s="8">
        <v>918</v>
      </c>
      <c r="H159" s="8">
        <v>1129</v>
      </c>
      <c r="I159" s="8">
        <v>1018</v>
      </c>
      <c r="J159" s="8">
        <v>1187</v>
      </c>
      <c r="K159" s="8">
        <v>1326</v>
      </c>
      <c r="L159" s="8">
        <v>1481</v>
      </c>
      <c r="M159" s="8">
        <v>1720.06345323455</v>
      </c>
      <c r="N159" s="8">
        <v>1942.8923597501971</v>
      </c>
    </row>
    <row r="160" spans="1:14" x14ac:dyDescent="0.25">
      <c r="A160" s="6" t="s">
        <v>1157</v>
      </c>
      <c r="B160" s="7" t="s">
        <v>15</v>
      </c>
      <c r="C160" s="7" t="s">
        <v>16</v>
      </c>
      <c r="D160" s="7" t="s">
        <v>1166</v>
      </c>
      <c r="E160" s="8">
        <v>15</v>
      </c>
      <c r="F160" s="8">
        <v>14.8</v>
      </c>
      <c r="G160" s="8">
        <v>-6.8</v>
      </c>
      <c r="H160" s="8">
        <v>20</v>
      </c>
      <c r="I160" s="8">
        <v>-0.7</v>
      </c>
      <c r="J160" s="8">
        <v>20.5</v>
      </c>
      <c r="K160" s="8">
        <v>15.4</v>
      </c>
      <c r="L160" s="8">
        <v>10.9</v>
      </c>
      <c r="M160" s="8">
        <v>14.862426236589988</v>
      </c>
      <c r="N160" s="8">
        <v>11.622224547572028</v>
      </c>
    </row>
    <row r="161" spans="1:14" x14ac:dyDescent="0.25">
      <c r="A161" s="6" t="s">
        <v>1165</v>
      </c>
      <c r="B161" s="7" t="s">
        <v>20</v>
      </c>
      <c r="C161" s="7" t="s">
        <v>21</v>
      </c>
      <c r="D161" s="7" t="s">
        <v>1164</v>
      </c>
      <c r="E161" s="8">
        <v>179</v>
      </c>
      <c r="F161" s="8">
        <v>195</v>
      </c>
      <c r="G161" s="8">
        <v>193</v>
      </c>
      <c r="H161" s="8">
        <v>235</v>
      </c>
      <c r="I161" s="8">
        <v>226</v>
      </c>
      <c r="J161" s="8">
        <v>273</v>
      </c>
      <c r="K161" s="8">
        <v>293</v>
      </c>
      <c r="L161" s="8">
        <v>341</v>
      </c>
      <c r="M161" s="8">
        <v>369.22052961320549</v>
      </c>
      <c r="N161" s="8">
        <v>394.4462711416507</v>
      </c>
    </row>
    <row r="162" spans="1:14" x14ac:dyDescent="0.25">
      <c r="A162" s="6" t="s">
        <v>1157</v>
      </c>
      <c r="B162" s="7" t="s">
        <v>15</v>
      </c>
      <c r="C162" s="7" t="s">
        <v>16</v>
      </c>
      <c r="D162" s="7" t="s">
        <v>1164</v>
      </c>
      <c r="E162" s="8">
        <v>15.4</v>
      </c>
      <c r="F162" s="8">
        <v>14.1</v>
      </c>
      <c r="G162" s="8">
        <v>-1.3</v>
      </c>
      <c r="H162" s="8">
        <v>18.100000000000001</v>
      </c>
      <c r="I162" s="8">
        <v>5.2</v>
      </c>
      <c r="J162" s="8">
        <v>20.5</v>
      </c>
      <c r="K162" s="8">
        <v>7.6</v>
      </c>
      <c r="L162" s="8">
        <v>14.3</v>
      </c>
      <c r="M162" s="8">
        <v>7.2378815471093221</v>
      </c>
      <c r="N162" s="8">
        <v>6.7441670743178266</v>
      </c>
    </row>
    <row r="163" spans="1:14" x14ac:dyDescent="0.25">
      <c r="A163" s="6" t="s">
        <v>42</v>
      </c>
      <c r="B163" s="7" t="s">
        <v>20</v>
      </c>
      <c r="C163" s="7" t="s">
        <v>21</v>
      </c>
      <c r="D163" s="7" t="s">
        <v>1163</v>
      </c>
      <c r="E163" s="8">
        <v>1803</v>
      </c>
      <c r="F163" s="8">
        <v>1803</v>
      </c>
      <c r="G163" s="8">
        <v>1486</v>
      </c>
      <c r="H163" s="8">
        <v>1739</v>
      </c>
      <c r="I163" s="8">
        <v>1619</v>
      </c>
      <c r="J163" s="8">
        <v>1703</v>
      </c>
      <c r="K163" s="8">
        <v>1781</v>
      </c>
      <c r="L163" s="8">
        <v>1877</v>
      </c>
      <c r="M163" s="8">
        <v>1972.8144828239533</v>
      </c>
      <c r="N163" s="8">
        <v>2043.0450041129216</v>
      </c>
    </row>
    <row r="164" spans="1:14" x14ac:dyDescent="0.25">
      <c r="A164" s="6" t="s">
        <v>1157</v>
      </c>
      <c r="B164" s="7" t="s">
        <v>15</v>
      </c>
      <c r="C164" s="7" t="s">
        <v>16</v>
      </c>
      <c r="D164" s="7" t="s">
        <v>1163</v>
      </c>
      <c r="E164" s="8">
        <v>3.6</v>
      </c>
      <c r="F164" s="8">
        <v>4.0999999999999996</v>
      </c>
      <c r="G164" s="8">
        <v>-17.399999999999999</v>
      </c>
      <c r="H164" s="8">
        <v>13.2</v>
      </c>
      <c r="I164" s="8">
        <v>1.5</v>
      </c>
      <c r="J164" s="8">
        <v>6.7</v>
      </c>
      <c r="K164" s="8">
        <v>5.8</v>
      </c>
      <c r="L164" s="8">
        <v>4.7</v>
      </c>
      <c r="M164" s="8">
        <v>3.8941562127651475</v>
      </c>
      <c r="N164" s="8">
        <v>3.6461058743024521</v>
      </c>
    </row>
    <row r="165" spans="1:14" x14ac:dyDescent="0.25">
      <c r="A165" s="6" t="s">
        <v>1162</v>
      </c>
      <c r="B165" s="7" t="s">
        <v>20</v>
      </c>
      <c r="C165" s="7" t="s">
        <v>21</v>
      </c>
      <c r="D165" s="7" t="s">
        <v>1161</v>
      </c>
      <c r="E165" s="8">
        <v>751</v>
      </c>
      <c r="F165" s="8">
        <v>784</v>
      </c>
      <c r="G165" s="8">
        <v>707</v>
      </c>
      <c r="H165" s="8">
        <v>880</v>
      </c>
      <c r="I165" s="8">
        <v>894</v>
      </c>
      <c r="J165" s="8">
        <v>1061</v>
      </c>
      <c r="K165" s="8">
        <v>1195</v>
      </c>
      <c r="L165" s="8">
        <v>1351</v>
      </c>
      <c r="M165" s="8">
        <v>1492.7574986952682</v>
      </c>
      <c r="N165" s="8">
        <v>1621.9310710600548</v>
      </c>
    </row>
    <row r="166" spans="1:14" x14ac:dyDescent="0.25">
      <c r="A166" s="6" t="s">
        <v>1157</v>
      </c>
      <c r="B166" s="7" t="s">
        <v>15</v>
      </c>
      <c r="C166" s="7" t="s">
        <v>16</v>
      </c>
      <c r="D166" s="7" t="s">
        <v>1161</v>
      </c>
      <c r="E166" s="8">
        <v>13.1</v>
      </c>
      <c r="F166" s="8">
        <v>9.7000000000000011</v>
      </c>
      <c r="G166" s="8">
        <v>-10.3</v>
      </c>
      <c r="H166" s="8">
        <v>20.399999999999999</v>
      </c>
      <c r="I166" s="8">
        <v>13.8</v>
      </c>
      <c r="J166" s="8">
        <v>20.100000000000001</v>
      </c>
      <c r="K166" s="8">
        <v>15.3</v>
      </c>
      <c r="L166" s="8">
        <v>11.5</v>
      </c>
      <c r="M166" s="8">
        <v>9.5109641993119531</v>
      </c>
      <c r="N166" s="8">
        <v>9.0421305057392196</v>
      </c>
    </row>
    <row r="167" spans="1:14" x14ac:dyDescent="0.25">
      <c r="A167" s="6" t="s">
        <v>1160</v>
      </c>
      <c r="B167" s="7" t="s">
        <v>20</v>
      </c>
      <c r="C167" s="7" t="s">
        <v>21</v>
      </c>
      <c r="D167" s="7" t="s">
        <v>1159</v>
      </c>
      <c r="E167" s="8">
        <v>174</v>
      </c>
      <c r="F167" s="8">
        <v>171</v>
      </c>
      <c r="G167" s="8">
        <v>138</v>
      </c>
      <c r="H167" s="8">
        <v>165</v>
      </c>
      <c r="I167" s="8">
        <v>151</v>
      </c>
      <c r="J167" s="8">
        <v>165</v>
      </c>
      <c r="K167" s="8">
        <v>195</v>
      </c>
      <c r="L167" s="8">
        <v>237</v>
      </c>
      <c r="M167" s="8">
        <v>255.16202675570423</v>
      </c>
      <c r="N167" s="8">
        <v>268.95620034022045</v>
      </c>
    </row>
    <row r="168" spans="1:14" x14ac:dyDescent="0.25">
      <c r="A168" s="6" t="s">
        <v>1157</v>
      </c>
      <c r="B168" s="7" t="s">
        <v>15</v>
      </c>
      <c r="C168" s="7" t="s">
        <v>16</v>
      </c>
      <c r="D168" s="7" t="s">
        <v>1159</v>
      </c>
      <c r="E168" s="8">
        <v>-0.3</v>
      </c>
      <c r="F168" s="8">
        <v>4.7</v>
      </c>
      <c r="G168" s="8">
        <v>-19</v>
      </c>
      <c r="H168" s="8">
        <v>14.3</v>
      </c>
      <c r="I168" s="8">
        <v>2.9</v>
      </c>
      <c r="J168" s="8">
        <v>13.1</v>
      </c>
      <c r="K168" s="8">
        <v>25.5</v>
      </c>
      <c r="L168" s="8">
        <v>20.5</v>
      </c>
      <c r="M168" s="8">
        <v>6.6652576007615831</v>
      </c>
      <c r="N168" s="8">
        <v>6.902396237231728</v>
      </c>
    </row>
    <row r="169" spans="1:14" x14ac:dyDescent="0.25">
      <c r="A169" s="6" t="s">
        <v>1158</v>
      </c>
      <c r="B169" s="7" t="s">
        <v>20</v>
      </c>
      <c r="C169" s="7" t="s">
        <v>21</v>
      </c>
      <c r="D169" s="7" t="s">
        <v>1156</v>
      </c>
      <c r="E169" s="8">
        <v>1476</v>
      </c>
      <c r="F169" s="8">
        <v>1846</v>
      </c>
      <c r="G169" s="8">
        <v>2403</v>
      </c>
      <c r="H169" s="8">
        <v>3116</v>
      </c>
      <c r="I169" s="8">
        <v>3123</v>
      </c>
      <c r="J169" s="8">
        <v>3632</v>
      </c>
      <c r="K169" s="8">
        <v>4172</v>
      </c>
      <c r="L169" s="8">
        <v>4817</v>
      </c>
      <c r="M169" s="8">
        <v>5466.7175752168469</v>
      </c>
      <c r="N169" s="8">
        <v>6105.173054891181</v>
      </c>
    </row>
    <row r="170" spans="1:14" x14ac:dyDescent="0.25">
      <c r="A170" s="6" t="s">
        <v>1157</v>
      </c>
      <c r="B170" s="7" t="s">
        <v>15</v>
      </c>
      <c r="C170" s="7" t="s">
        <v>16</v>
      </c>
      <c r="D170" s="7" t="s">
        <v>1156</v>
      </c>
      <c r="E170" s="8">
        <v>33.9</v>
      </c>
      <c r="F170" s="8">
        <v>31.8</v>
      </c>
      <c r="G170" s="8">
        <v>30.1</v>
      </c>
      <c r="H170" s="8">
        <v>24.3</v>
      </c>
      <c r="I170" s="8">
        <v>10.6</v>
      </c>
      <c r="J170" s="8">
        <v>17.5</v>
      </c>
      <c r="K170" s="8">
        <v>17.3</v>
      </c>
      <c r="L170" s="8">
        <v>13.5</v>
      </c>
      <c r="M170" s="8">
        <v>11.973851498740959</v>
      </c>
      <c r="N170" s="8">
        <v>11.620029390748863</v>
      </c>
    </row>
    <row r="171" spans="1:14" x14ac:dyDescent="0.25">
      <c r="A171" s="6" t="s">
        <v>17</v>
      </c>
      <c r="B171" s="7"/>
      <c r="C171" s="7"/>
      <c r="D171" s="7"/>
      <c r="E171" s="8"/>
      <c r="F171" s="8"/>
      <c r="G171" s="8"/>
      <c r="H171" s="8"/>
      <c r="I171" s="8"/>
      <c r="J171" s="8"/>
      <c r="K171" s="8"/>
      <c r="L171" s="8"/>
      <c r="M171" s="8"/>
      <c r="N171" s="8"/>
    </row>
    <row r="172" spans="1:14" x14ac:dyDescent="0.25">
      <c r="A172" s="6" t="s">
        <v>136</v>
      </c>
      <c r="B172" s="7"/>
      <c r="C172" s="7"/>
      <c r="D172" s="7"/>
      <c r="E172" s="8"/>
      <c r="F172" s="8"/>
      <c r="G172" s="8"/>
      <c r="H172" s="8"/>
      <c r="I172" s="8"/>
      <c r="J172" s="8"/>
      <c r="K172" s="8"/>
      <c r="L172" s="8"/>
      <c r="M172" s="8"/>
      <c r="N172" s="8"/>
    </row>
    <row r="173" spans="1:14" x14ac:dyDescent="0.25">
      <c r="A173" s="6" t="s">
        <v>11</v>
      </c>
      <c r="B173" s="7" t="s">
        <v>12</v>
      </c>
      <c r="C173" s="7" t="s">
        <v>13</v>
      </c>
      <c r="D173" s="7"/>
      <c r="E173" s="8">
        <v>30578</v>
      </c>
      <c r="F173" s="8">
        <v>31904</v>
      </c>
      <c r="G173" s="8">
        <v>34608</v>
      </c>
      <c r="H173" s="8">
        <v>43075</v>
      </c>
      <c r="I173" s="8">
        <v>43653</v>
      </c>
      <c r="J173" s="8">
        <v>40109</v>
      </c>
      <c r="K173" s="8">
        <v>41950</v>
      </c>
      <c r="L173" s="8">
        <v>44328</v>
      </c>
      <c r="M173" s="8">
        <v>47812.730769230766</v>
      </c>
      <c r="N173" s="8">
        <v>51498.111111111117</v>
      </c>
    </row>
    <row r="174" spans="1:14" x14ac:dyDescent="0.25">
      <c r="A174" s="6" t="s">
        <v>1155</v>
      </c>
      <c r="B174" s="7" t="s">
        <v>15</v>
      </c>
      <c r="C174" s="7" t="s">
        <v>16</v>
      </c>
      <c r="D174" s="7"/>
      <c r="E174" s="8">
        <v>7.3</v>
      </c>
      <c r="F174" s="8">
        <v>7.7</v>
      </c>
      <c r="G174" s="8">
        <v>9.8000000000000007</v>
      </c>
      <c r="H174" s="8">
        <v>22.9</v>
      </c>
      <c r="I174" s="8">
        <v>6.4</v>
      </c>
      <c r="J174" s="8">
        <v>-6.2</v>
      </c>
      <c r="K174" s="8">
        <v>7.1</v>
      </c>
      <c r="L174" s="8">
        <v>5.5</v>
      </c>
      <c r="M174" s="8">
        <v>6.8330072497860339</v>
      </c>
      <c r="N174" s="8">
        <v>7.3823841708106999</v>
      </c>
    </row>
    <row r="175" spans="1:14" x14ac:dyDescent="0.25">
      <c r="A175" s="6" t="s">
        <v>17</v>
      </c>
      <c r="B175" s="7"/>
      <c r="C175" s="7"/>
      <c r="D175" s="7"/>
      <c r="E175" s="8"/>
      <c r="F175" s="8"/>
      <c r="G175" s="8"/>
      <c r="H175" s="8"/>
      <c r="I175" s="8"/>
      <c r="J175" s="8"/>
      <c r="K175" s="8"/>
      <c r="L175" s="8"/>
      <c r="M175" s="8"/>
      <c r="N175" s="8"/>
    </row>
    <row r="176" spans="1:14" x14ac:dyDescent="0.25">
      <c r="A176" s="6" t="s">
        <v>147</v>
      </c>
      <c r="B176" s="7" t="s">
        <v>148</v>
      </c>
      <c r="C176" s="7" t="s">
        <v>149</v>
      </c>
      <c r="D176" s="7"/>
      <c r="E176" s="8">
        <v>18147</v>
      </c>
      <c r="F176" s="8">
        <v>18877</v>
      </c>
      <c r="G176" s="8">
        <v>19925</v>
      </c>
      <c r="H176" s="8">
        <v>24967</v>
      </c>
      <c r="I176" s="8">
        <v>24849</v>
      </c>
      <c r="J176" s="8">
        <v>22277</v>
      </c>
      <c r="K176" s="8">
        <v>23579</v>
      </c>
      <c r="L176" s="8">
        <v>25151</v>
      </c>
      <c r="M176" s="8">
        <v>27217.707296008448</v>
      </c>
      <c r="N176" s="8">
        <v>29531.918048162028</v>
      </c>
    </row>
    <row r="177" spans="1:14" x14ac:dyDescent="0.25">
      <c r="A177" s="6" t="s">
        <v>150</v>
      </c>
      <c r="B177" s="7" t="s">
        <v>47</v>
      </c>
      <c r="C177" s="7" t="s">
        <v>48</v>
      </c>
      <c r="D177" s="7"/>
      <c r="E177" s="8">
        <v>59.3</v>
      </c>
      <c r="F177" s="8">
        <v>59.2</v>
      </c>
      <c r="G177" s="8">
        <v>57.6</v>
      </c>
      <c r="H177" s="8">
        <v>57.961694999999999</v>
      </c>
      <c r="I177" s="8">
        <v>56.923923000000002</v>
      </c>
      <c r="J177" s="8">
        <v>55.541150000000002</v>
      </c>
      <c r="K177" s="8">
        <v>56.207389999999997</v>
      </c>
      <c r="L177" s="8">
        <v>56.738405</v>
      </c>
      <c r="M177" s="8">
        <v>56.971138010947783</v>
      </c>
      <c r="N177" s="8">
        <v>57.376932268058333</v>
      </c>
    </row>
    <row r="178" spans="1:14" x14ac:dyDescent="0.25">
      <c r="A178" s="6" t="s">
        <v>17</v>
      </c>
      <c r="B178" s="7"/>
      <c r="C178" s="7"/>
      <c r="D178" s="7"/>
      <c r="E178" s="8"/>
      <c r="F178" s="8"/>
      <c r="G178" s="8"/>
      <c r="H178" s="8"/>
      <c r="I178" s="8"/>
      <c r="J178" s="8"/>
      <c r="K178" s="8"/>
      <c r="L178" s="8"/>
      <c r="M178" s="8"/>
      <c r="N178" s="8"/>
    </row>
    <row r="179" spans="1:14" x14ac:dyDescent="0.25">
      <c r="A179" s="6" t="s">
        <v>1154</v>
      </c>
      <c r="B179" s="7" t="s">
        <v>215</v>
      </c>
      <c r="C179" s="7" t="s">
        <v>216</v>
      </c>
      <c r="D179" s="7"/>
      <c r="E179" s="8">
        <v>26928</v>
      </c>
      <c r="F179" s="8">
        <v>27372</v>
      </c>
      <c r="G179" s="8">
        <v>29251</v>
      </c>
      <c r="H179" s="8">
        <v>34650</v>
      </c>
      <c r="I179" s="8">
        <v>35291</v>
      </c>
      <c r="J179" s="8">
        <v>33631</v>
      </c>
      <c r="K179" s="8">
        <v>35125</v>
      </c>
      <c r="L179" s="8">
        <v>36275</v>
      </c>
      <c r="M179" s="8" t="s">
        <v>1483</v>
      </c>
      <c r="N179" s="8" t="s">
        <v>1483</v>
      </c>
    </row>
    <row r="180" spans="1:14" x14ac:dyDescent="0.25">
      <c r="A180" s="6" t="s">
        <v>1153</v>
      </c>
      <c r="B180" s="7" t="s">
        <v>153</v>
      </c>
      <c r="C180" s="7" t="s">
        <v>154</v>
      </c>
      <c r="D180" s="7"/>
      <c r="E180" s="8">
        <v>9379</v>
      </c>
      <c r="F180" s="8">
        <v>9525</v>
      </c>
      <c r="G180" s="8">
        <v>9621</v>
      </c>
      <c r="H180" s="8">
        <v>11007</v>
      </c>
      <c r="I180" s="8">
        <v>11012</v>
      </c>
      <c r="J180" s="8">
        <v>10847</v>
      </c>
      <c r="K180" s="8">
        <v>11580</v>
      </c>
      <c r="L180" s="8">
        <v>12020</v>
      </c>
      <c r="M180" s="8">
        <v>12777.398731997655</v>
      </c>
      <c r="N180" s="8">
        <v>13695.790156017887</v>
      </c>
    </row>
    <row r="181" spans="1:14" x14ac:dyDescent="0.25">
      <c r="A181" s="6" t="s">
        <v>155</v>
      </c>
      <c r="B181" s="7" t="s">
        <v>156</v>
      </c>
      <c r="C181" s="7" t="s">
        <v>157</v>
      </c>
      <c r="D181" s="7"/>
      <c r="E181" s="8">
        <v>30.672378834456143</v>
      </c>
      <c r="F181" s="8">
        <v>29.855190571715145</v>
      </c>
      <c r="G181" s="8">
        <v>27.799930651872401</v>
      </c>
      <c r="H181" s="8">
        <v>25.553105049332558</v>
      </c>
      <c r="I181" s="8">
        <v>25.226215838544885</v>
      </c>
      <c r="J181" s="8">
        <v>27.043805629659179</v>
      </c>
      <c r="K181" s="8">
        <v>27.604290822407627</v>
      </c>
      <c r="L181" s="8">
        <v>27.116044035372678</v>
      </c>
      <c r="M181" s="8">
        <v>26.644837177100552</v>
      </c>
      <c r="N181" s="8">
        <v>26.53905759150528</v>
      </c>
    </row>
    <row r="182" spans="1:14" x14ac:dyDescent="0.25">
      <c r="A182" s="6" t="s">
        <v>158</v>
      </c>
      <c r="B182" s="7" t="s">
        <v>159</v>
      </c>
      <c r="C182" s="7" t="s">
        <v>160</v>
      </c>
      <c r="D182" s="7"/>
      <c r="E182" s="8">
        <v>2213</v>
      </c>
      <c r="F182" s="8">
        <v>2242</v>
      </c>
      <c r="G182" s="8">
        <v>2295</v>
      </c>
      <c r="H182" s="8">
        <v>2636</v>
      </c>
      <c r="I182" s="8">
        <v>2606</v>
      </c>
      <c r="J182" s="8">
        <v>2519</v>
      </c>
      <c r="K182" s="8">
        <v>2704</v>
      </c>
      <c r="L182" s="8">
        <v>2830</v>
      </c>
      <c r="M182" s="8">
        <v>3052.3086516147655</v>
      </c>
      <c r="N182" s="8">
        <v>3290.5939080001694</v>
      </c>
    </row>
    <row r="183" spans="1:14" x14ac:dyDescent="0.25">
      <c r="A183" s="6" t="s">
        <v>155</v>
      </c>
      <c r="B183" s="7" t="s">
        <v>161</v>
      </c>
      <c r="C183" s="7" t="s">
        <v>162</v>
      </c>
      <c r="D183" s="7"/>
      <c r="E183" s="8">
        <v>7.2372293806004322</v>
      </c>
      <c r="F183" s="8">
        <v>7.0273319959879634</v>
      </c>
      <c r="G183" s="8">
        <v>6.6314147018030507</v>
      </c>
      <c r="H183" s="8">
        <v>6.1195589088798608</v>
      </c>
      <c r="I183" s="8">
        <v>5.9698073442833257</v>
      </c>
      <c r="J183" s="8">
        <v>6.2803859482909079</v>
      </c>
      <c r="K183" s="8">
        <v>6.4457687723480328</v>
      </c>
      <c r="L183" s="8">
        <v>6.3842266738855802</v>
      </c>
      <c r="M183" s="8">
        <v>6.3663407258480893</v>
      </c>
      <c r="N183" s="8">
        <v>6.3748265354023204</v>
      </c>
    </row>
    <row r="184" spans="1:14" x14ac:dyDescent="0.25">
      <c r="A184" s="6" t="s">
        <v>17</v>
      </c>
      <c r="B184" s="7"/>
      <c r="C184" s="7"/>
      <c r="D184" s="7"/>
      <c r="E184" s="8"/>
      <c r="F184" s="8"/>
      <c r="G184" s="8"/>
      <c r="H184" s="8"/>
      <c r="I184" s="8"/>
      <c r="J184" s="8"/>
      <c r="K184" s="8"/>
      <c r="L184" s="8"/>
      <c r="M184" s="8"/>
      <c r="N184" s="8"/>
    </row>
    <row r="185" spans="1:14" x14ac:dyDescent="0.25">
      <c r="A185" s="6" t="s">
        <v>163</v>
      </c>
      <c r="B185" s="7" t="s">
        <v>164</v>
      </c>
      <c r="C185" s="7" t="s">
        <v>165</v>
      </c>
      <c r="D185" s="7"/>
      <c r="E185" s="8">
        <v>6555</v>
      </c>
      <c r="F185" s="8">
        <v>7110</v>
      </c>
      <c r="G185" s="8">
        <v>8009</v>
      </c>
      <c r="H185" s="8">
        <v>11324</v>
      </c>
      <c r="I185" s="8">
        <v>11231</v>
      </c>
      <c r="J185" s="8">
        <v>8911</v>
      </c>
      <c r="K185" s="8">
        <v>9295</v>
      </c>
      <c r="L185" s="8">
        <v>10301</v>
      </c>
      <c r="M185" s="8">
        <v>11412.08695652174</v>
      </c>
      <c r="N185" s="8">
        <v>12548.375</v>
      </c>
    </row>
    <row r="186" spans="1:14" x14ac:dyDescent="0.25">
      <c r="A186" s="6" t="s">
        <v>166</v>
      </c>
      <c r="B186" s="7" t="s">
        <v>626</v>
      </c>
      <c r="C186" s="7" t="s">
        <v>625</v>
      </c>
      <c r="D186" s="7"/>
      <c r="E186" s="8">
        <v>21.436980835895088</v>
      </c>
      <c r="F186" s="8">
        <v>22.285606820461386</v>
      </c>
      <c r="G186" s="8">
        <v>23.142048081368468</v>
      </c>
      <c r="H186" s="8">
        <v>26.289030760301802</v>
      </c>
      <c r="I186" s="8">
        <v>25.727899571621656</v>
      </c>
      <c r="J186" s="8">
        <v>22.216958787304595</v>
      </c>
      <c r="K186" s="8">
        <v>22.157330154946365</v>
      </c>
      <c r="L186" s="8">
        <v>23.238133910846418</v>
      </c>
      <c r="M186" s="8">
        <v>23.802787680494703</v>
      </c>
      <c r="N186" s="8">
        <v>24.462440042916565</v>
      </c>
    </row>
    <row r="187" spans="1:14" x14ac:dyDescent="0.25">
      <c r="A187" s="6" t="s">
        <v>17</v>
      </c>
      <c r="B187" s="7"/>
      <c r="C187" s="7"/>
      <c r="D187" s="7"/>
      <c r="E187" s="8"/>
      <c r="F187" s="8"/>
      <c r="G187" s="8"/>
      <c r="H187" s="8"/>
      <c r="I187" s="8"/>
      <c r="J187" s="8"/>
      <c r="K187" s="8"/>
      <c r="L187" s="8"/>
      <c r="M187" s="8"/>
      <c r="N187" s="8"/>
    </row>
    <row r="188" spans="1:14" x14ac:dyDescent="0.25">
      <c r="A188" s="6" t="s">
        <v>167</v>
      </c>
      <c r="B188" s="7" t="s">
        <v>168</v>
      </c>
      <c r="C188" s="7" t="s">
        <v>169</v>
      </c>
      <c r="D188" s="7"/>
      <c r="E188" s="8">
        <v>3310</v>
      </c>
      <c r="F188" s="8">
        <v>3014</v>
      </c>
      <c r="G188" s="8">
        <v>3327</v>
      </c>
      <c r="H188" s="8">
        <v>3538</v>
      </c>
      <c r="I188" s="8">
        <v>3267</v>
      </c>
      <c r="J188" s="8">
        <v>3243</v>
      </c>
      <c r="K188" s="8">
        <v>3218</v>
      </c>
      <c r="L188" s="8">
        <v>3116</v>
      </c>
      <c r="M188" s="8">
        <v>3453.0344073677848</v>
      </c>
      <c r="N188" s="8">
        <v>3586.7580373267397</v>
      </c>
    </row>
    <row r="189" spans="1:14" x14ac:dyDescent="0.25">
      <c r="A189" s="6" t="s">
        <v>170</v>
      </c>
      <c r="B189" s="7" t="s">
        <v>624</v>
      </c>
      <c r="C189" s="7" t="s">
        <v>623</v>
      </c>
      <c r="D189" s="7"/>
      <c r="E189" s="8">
        <v>1100</v>
      </c>
      <c r="F189" s="8">
        <v>1078</v>
      </c>
      <c r="G189" s="8">
        <v>1195</v>
      </c>
      <c r="H189" s="8">
        <v>1491</v>
      </c>
      <c r="I189" s="8">
        <v>1254</v>
      </c>
      <c r="J189" s="8">
        <v>1277</v>
      </c>
      <c r="K189" s="8">
        <v>1340</v>
      </c>
      <c r="L189" s="8">
        <v>1434</v>
      </c>
      <c r="M189" s="8">
        <v>1576.7986125286959</v>
      </c>
      <c r="N189" s="8">
        <v>1678.7661201763267</v>
      </c>
    </row>
    <row r="190" spans="1:14" x14ac:dyDescent="0.25">
      <c r="A190" s="6" t="s">
        <v>173</v>
      </c>
      <c r="B190" s="7" t="s">
        <v>1152</v>
      </c>
      <c r="C190" s="7" t="s">
        <v>1151</v>
      </c>
      <c r="D190" s="7"/>
      <c r="E190" s="8">
        <v>2178</v>
      </c>
      <c r="F190" s="8">
        <v>1936</v>
      </c>
      <c r="G190" s="8">
        <v>2132</v>
      </c>
      <c r="H190" s="8">
        <v>2047</v>
      </c>
      <c r="I190" s="8">
        <v>2013</v>
      </c>
      <c r="J190" s="8">
        <v>1966</v>
      </c>
      <c r="K190" s="8">
        <v>1878</v>
      </c>
      <c r="L190" s="8">
        <v>1682</v>
      </c>
      <c r="M190" s="8">
        <v>1813.7758227017291</v>
      </c>
      <c r="N190" s="8">
        <v>1752.5328123737108</v>
      </c>
    </row>
    <row r="191" spans="1:14" x14ac:dyDescent="0.25">
      <c r="A191" s="6" t="s">
        <v>17</v>
      </c>
      <c r="B191" s="7"/>
      <c r="C191" s="7"/>
      <c r="D191" s="7"/>
      <c r="E191" s="8"/>
      <c r="F191" s="8"/>
      <c r="G191" s="8"/>
      <c r="H191" s="8"/>
      <c r="I191" s="8"/>
      <c r="J191" s="8"/>
      <c r="K191" s="8"/>
      <c r="L191" s="8"/>
      <c r="M191" s="8"/>
      <c r="N191" s="8"/>
    </row>
    <row r="192" spans="1:14" x14ac:dyDescent="0.25">
      <c r="A192" s="6" t="s">
        <v>1150</v>
      </c>
      <c r="B192" s="7" t="s">
        <v>621</v>
      </c>
      <c r="C192" s="7" t="s">
        <v>620</v>
      </c>
      <c r="D192" s="7"/>
      <c r="E192" s="8">
        <v>721</v>
      </c>
      <c r="F192" s="8">
        <v>576</v>
      </c>
      <c r="G192" s="8">
        <v>500</v>
      </c>
      <c r="H192" s="8">
        <v>490</v>
      </c>
      <c r="I192" s="8">
        <v>375</v>
      </c>
      <c r="J192" s="8">
        <v>252</v>
      </c>
      <c r="K192" s="8">
        <v>215</v>
      </c>
      <c r="L192" s="8">
        <v>185</v>
      </c>
      <c r="M192" s="8">
        <v>223.79956224299676</v>
      </c>
      <c r="N192" s="8">
        <v>216.60020926003398</v>
      </c>
    </row>
    <row r="193" spans="1:14" x14ac:dyDescent="0.25">
      <c r="A193" s="6" t="s">
        <v>1149</v>
      </c>
      <c r="B193" s="7" t="s">
        <v>618</v>
      </c>
      <c r="C193" s="7" t="s">
        <v>617</v>
      </c>
      <c r="D193" s="7"/>
      <c r="E193" s="8">
        <v>826</v>
      </c>
      <c r="F193" s="8">
        <v>670</v>
      </c>
      <c r="G193" s="8">
        <v>546</v>
      </c>
      <c r="H193" s="8">
        <v>533</v>
      </c>
      <c r="I193" s="8">
        <v>558</v>
      </c>
      <c r="J193" s="8">
        <v>637</v>
      </c>
      <c r="K193" s="8">
        <v>559</v>
      </c>
      <c r="L193" s="8">
        <v>493</v>
      </c>
      <c r="M193" s="8">
        <v>466.28394320000001</v>
      </c>
      <c r="N193" s="8">
        <v>395.17946024999998</v>
      </c>
    </row>
    <row r="194" spans="1:14" x14ac:dyDescent="0.25">
      <c r="A194" s="6" t="s">
        <v>1148</v>
      </c>
      <c r="B194" s="7" t="s">
        <v>615</v>
      </c>
      <c r="C194" s="7" t="s">
        <v>614</v>
      </c>
      <c r="D194" s="7"/>
      <c r="E194" s="8">
        <v>105</v>
      </c>
      <c r="F194" s="8">
        <v>94</v>
      </c>
      <c r="G194" s="8">
        <v>46</v>
      </c>
      <c r="H194" s="8">
        <v>43</v>
      </c>
      <c r="I194" s="8">
        <v>183</v>
      </c>
      <c r="J194" s="8">
        <v>385</v>
      </c>
      <c r="K194" s="8">
        <v>344</v>
      </c>
      <c r="L194" s="8">
        <v>308</v>
      </c>
      <c r="M194" s="8">
        <v>311.80376350272422</v>
      </c>
      <c r="N194" s="8">
        <v>321.72358927951473</v>
      </c>
    </row>
    <row r="195" spans="1:14" x14ac:dyDescent="0.25">
      <c r="A195" s="6" t="s">
        <v>1147</v>
      </c>
      <c r="B195" s="7" t="s">
        <v>1146</v>
      </c>
      <c r="C195" s="7" t="s">
        <v>1145</v>
      </c>
      <c r="D195" s="7"/>
      <c r="E195" s="8">
        <v>28</v>
      </c>
      <c r="F195" s="8">
        <v>7</v>
      </c>
      <c r="G195" s="8">
        <v>-8</v>
      </c>
      <c r="H195" s="8">
        <v>1</v>
      </c>
      <c r="I195" s="8">
        <v>2</v>
      </c>
      <c r="J195" s="8">
        <v>41</v>
      </c>
      <c r="K195" s="8">
        <v>-27</v>
      </c>
      <c r="L195" s="8">
        <v>-50</v>
      </c>
      <c r="M195" s="8">
        <v>-24.375</v>
      </c>
      <c r="N195" s="8">
        <v>-20.714285714285712</v>
      </c>
    </row>
    <row r="196" spans="1:14" x14ac:dyDescent="0.25">
      <c r="A196" s="6" t="s">
        <v>1144</v>
      </c>
      <c r="B196" s="7" t="s">
        <v>612</v>
      </c>
      <c r="C196" s="7" t="s">
        <v>611</v>
      </c>
      <c r="D196" s="7"/>
      <c r="E196" s="8">
        <v>-136</v>
      </c>
      <c r="F196" s="8">
        <v>-228</v>
      </c>
      <c r="G196" s="8">
        <v>-191</v>
      </c>
      <c r="H196" s="8">
        <v>-252</v>
      </c>
      <c r="I196" s="8">
        <v>-376</v>
      </c>
      <c r="J196" s="8">
        <v>-454</v>
      </c>
      <c r="K196" s="8">
        <v>-539</v>
      </c>
      <c r="L196" s="8">
        <v>-596</v>
      </c>
      <c r="M196" s="8">
        <v>-530.90980768249983</v>
      </c>
      <c r="N196" s="8">
        <v>-502.14285714285711</v>
      </c>
    </row>
    <row r="197" spans="1:14" x14ac:dyDescent="0.25">
      <c r="A197" s="6" t="s">
        <v>17</v>
      </c>
      <c r="B197" s="7"/>
      <c r="C197" s="7"/>
      <c r="D197" s="7"/>
      <c r="E197" s="8"/>
      <c r="F197" s="8"/>
      <c r="G197" s="8"/>
      <c r="H197" s="8"/>
      <c r="I197" s="8"/>
      <c r="J197" s="8"/>
      <c r="K197" s="8"/>
      <c r="L197" s="8"/>
      <c r="M197" s="8"/>
      <c r="N197" s="8"/>
    </row>
    <row r="198" spans="1:14" x14ac:dyDescent="0.25">
      <c r="A198" s="6" t="s">
        <v>182</v>
      </c>
      <c r="B198" s="7" t="s">
        <v>183</v>
      </c>
      <c r="C198" s="7" t="s">
        <v>184</v>
      </c>
      <c r="D198" s="7"/>
      <c r="E198" s="8">
        <v>5973</v>
      </c>
      <c r="F198" s="8">
        <v>6755</v>
      </c>
      <c r="G198" s="8">
        <v>7708</v>
      </c>
      <c r="H198" s="8">
        <v>11085</v>
      </c>
      <c r="I198" s="8">
        <v>11230</v>
      </c>
      <c r="J198" s="8">
        <v>9072</v>
      </c>
      <c r="K198" s="8">
        <v>9646</v>
      </c>
      <c r="L198" s="8">
        <v>10762</v>
      </c>
      <c r="M198" s="8">
        <v>11762.227272727272</v>
      </c>
      <c r="N198" s="8">
        <v>12962.818181818182</v>
      </c>
    </row>
    <row r="199" spans="1:14" x14ac:dyDescent="0.25">
      <c r="A199" s="6" t="s">
        <v>610</v>
      </c>
      <c r="B199" s="7" t="s">
        <v>609</v>
      </c>
      <c r="C199" s="7" t="s">
        <v>608</v>
      </c>
      <c r="D199" s="7"/>
      <c r="E199" s="8">
        <v>19.53365164497351</v>
      </c>
      <c r="F199" s="8">
        <v>21.172893681043128</v>
      </c>
      <c r="G199" s="8">
        <v>22.272306981044846</v>
      </c>
      <c r="H199" s="8">
        <v>25.734184561810796</v>
      </c>
      <c r="I199" s="8">
        <v>25.725608778319931</v>
      </c>
      <c r="J199" s="8">
        <v>22.618364955496272</v>
      </c>
      <c r="K199" s="8">
        <v>22.994040524433849</v>
      </c>
      <c r="L199" s="8">
        <v>24.278108644648981</v>
      </c>
      <c r="M199" s="8">
        <v>24.356757403105739</v>
      </c>
      <c r="N199" s="8">
        <v>24.934650442839178</v>
      </c>
    </row>
    <row r="200" spans="1:14" x14ac:dyDescent="0.25">
      <c r="A200" s="6" t="s">
        <v>17</v>
      </c>
      <c r="B200" s="7"/>
      <c r="C200" s="7"/>
      <c r="D200" s="7"/>
      <c r="E200" s="8"/>
      <c r="F200" s="8"/>
      <c r="G200" s="8"/>
      <c r="H200" s="8"/>
      <c r="I200" s="8"/>
      <c r="J200" s="8"/>
      <c r="K200" s="8"/>
      <c r="L200" s="8"/>
      <c r="M200" s="8"/>
      <c r="N200" s="8"/>
    </row>
    <row r="201" spans="1:14" x14ac:dyDescent="0.25">
      <c r="A201" s="6" t="s">
        <v>185</v>
      </c>
      <c r="B201" s="7" t="s">
        <v>186</v>
      </c>
      <c r="C201" s="7" t="s">
        <v>187</v>
      </c>
      <c r="D201" s="7"/>
      <c r="E201" s="8">
        <v>842</v>
      </c>
      <c r="F201" s="8">
        <v>945</v>
      </c>
      <c r="G201" s="8">
        <v>1156</v>
      </c>
      <c r="H201" s="8">
        <v>1718</v>
      </c>
      <c r="I201" s="8">
        <v>1764</v>
      </c>
      <c r="J201" s="8">
        <v>1270</v>
      </c>
      <c r="K201" s="8">
        <v>1446</v>
      </c>
      <c r="L201" s="8">
        <v>1722</v>
      </c>
      <c r="M201" s="8">
        <v>1826.7760240666951</v>
      </c>
      <c r="N201" s="8">
        <v>2023.9312187153707</v>
      </c>
    </row>
    <row r="202" spans="1:14" x14ac:dyDescent="0.25">
      <c r="A202" s="6" t="s">
        <v>188</v>
      </c>
      <c r="B202" s="7" t="s">
        <v>189</v>
      </c>
      <c r="C202" s="7" t="s">
        <v>190</v>
      </c>
      <c r="D202" s="7"/>
      <c r="E202" s="8">
        <v>14.1</v>
      </c>
      <c r="F202" s="8">
        <v>14</v>
      </c>
      <c r="G202" s="8">
        <v>15</v>
      </c>
      <c r="H202" s="8">
        <v>15.5</v>
      </c>
      <c r="I202" s="8">
        <v>15.7</v>
      </c>
      <c r="J202" s="8">
        <v>14</v>
      </c>
      <c r="K202" s="8">
        <v>15</v>
      </c>
      <c r="L202" s="8">
        <v>16</v>
      </c>
      <c r="M202" s="8">
        <v>15.548666817897493</v>
      </c>
      <c r="N202" s="8">
        <v>15.649999999999999</v>
      </c>
    </row>
    <row r="203" spans="1:14" x14ac:dyDescent="0.25">
      <c r="A203" s="6" t="s">
        <v>17</v>
      </c>
      <c r="B203" s="7"/>
      <c r="C203" s="7"/>
      <c r="D203" s="7"/>
      <c r="E203" s="8"/>
      <c r="F203" s="8"/>
      <c r="G203" s="8"/>
      <c r="H203" s="8"/>
      <c r="I203" s="8"/>
      <c r="J203" s="8"/>
      <c r="K203" s="8"/>
      <c r="L203" s="8"/>
      <c r="M203" s="8"/>
      <c r="N203" s="8"/>
    </row>
    <row r="204" spans="1:14" x14ac:dyDescent="0.25">
      <c r="A204" s="6" t="s">
        <v>191</v>
      </c>
      <c r="B204" s="7" t="s">
        <v>53</v>
      </c>
      <c r="C204" s="7" t="s">
        <v>54</v>
      </c>
      <c r="D204" s="7"/>
      <c r="E204" s="8">
        <v>5131</v>
      </c>
      <c r="F204" s="8">
        <v>5810</v>
      </c>
      <c r="G204" s="8">
        <v>6552</v>
      </c>
      <c r="H204" s="8">
        <v>9367</v>
      </c>
      <c r="I204" s="8">
        <v>9466</v>
      </c>
      <c r="J204" s="8">
        <v>7802</v>
      </c>
      <c r="K204" s="8">
        <v>8200</v>
      </c>
      <c r="L204" s="8">
        <v>9040</v>
      </c>
      <c r="M204" s="8">
        <v>9928.9230769230762</v>
      </c>
      <c r="N204" s="8">
        <v>10902.153846153848</v>
      </c>
    </row>
    <row r="205" spans="1:14" x14ac:dyDescent="0.25">
      <c r="A205" s="6" t="s">
        <v>607</v>
      </c>
      <c r="B205" s="7" t="s">
        <v>193</v>
      </c>
      <c r="C205" s="7" t="s">
        <v>194</v>
      </c>
      <c r="D205" s="7"/>
      <c r="E205" s="8">
        <v>16.780037935770817</v>
      </c>
      <c r="F205" s="8">
        <v>18.210882647943833</v>
      </c>
      <c r="G205" s="8">
        <v>18.932038834951456</v>
      </c>
      <c r="H205" s="8">
        <v>21.745792222867092</v>
      </c>
      <c r="I205" s="8">
        <v>21.68464939408517</v>
      </c>
      <c r="J205" s="8">
        <v>19.451993318207883</v>
      </c>
      <c r="K205" s="8">
        <v>19.547079856972584</v>
      </c>
      <c r="L205" s="8">
        <v>20.393430788666304</v>
      </c>
      <c r="M205" s="8">
        <v>20.726118941850952</v>
      </c>
      <c r="N205" s="8">
        <v>21.11161287077833</v>
      </c>
    </row>
    <row r="206" spans="1:14" x14ac:dyDescent="0.25">
      <c r="A206" s="6" t="s">
        <v>17</v>
      </c>
      <c r="B206" s="7"/>
      <c r="C206" s="7"/>
      <c r="D206" s="7"/>
      <c r="E206" s="8"/>
      <c r="F206" s="8"/>
      <c r="G206" s="8"/>
      <c r="H206" s="8"/>
      <c r="I206" s="8"/>
      <c r="J206" s="8"/>
      <c r="K206" s="8"/>
      <c r="L206" s="8"/>
      <c r="M206" s="8"/>
      <c r="N206" s="8"/>
    </row>
    <row r="207" spans="1:14" x14ac:dyDescent="0.25">
      <c r="A207" s="6" t="s">
        <v>195</v>
      </c>
      <c r="B207" s="7" t="s">
        <v>196</v>
      </c>
      <c r="C207" s="7" t="s">
        <v>197</v>
      </c>
      <c r="D207" s="7"/>
      <c r="E207" s="8">
        <v>1758</v>
      </c>
      <c r="F207" s="8">
        <v>1768</v>
      </c>
      <c r="G207" s="8">
        <v>1773</v>
      </c>
      <c r="H207" s="8">
        <v>1775</v>
      </c>
      <c r="I207" s="8">
        <v>1753</v>
      </c>
      <c r="J207" s="8">
        <v>1740</v>
      </c>
      <c r="K207" s="8">
        <v>1740</v>
      </c>
      <c r="L207" s="8">
        <v>1749</v>
      </c>
      <c r="M207" s="8">
        <v>1744.3961863752368</v>
      </c>
      <c r="N207" s="8">
        <v>1738.7464281376465</v>
      </c>
    </row>
    <row r="208" spans="1:14" x14ac:dyDescent="0.25">
      <c r="A208" s="6" t="s">
        <v>17</v>
      </c>
      <c r="B208" s="7"/>
      <c r="C208" s="7"/>
      <c r="D208" s="7"/>
      <c r="E208" s="8"/>
      <c r="F208" s="8"/>
      <c r="G208" s="8"/>
      <c r="H208" s="8"/>
      <c r="I208" s="8"/>
      <c r="J208" s="8"/>
      <c r="K208" s="8"/>
      <c r="L208" s="8"/>
      <c r="M208" s="8"/>
      <c r="N208" s="8"/>
    </row>
    <row r="209" spans="1:14" x14ac:dyDescent="0.25">
      <c r="A209" s="6" t="s">
        <v>198</v>
      </c>
      <c r="B209" s="7" t="s">
        <v>606</v>
      </c>
      <c r="C209" s="7" t="s">
        <v>605</v>
      </c>
      <c r="D209" s="7"/>
      <c r="E209" s="8">
        <v>1770</v>
      </c>
      <c r="F209" s="8">
        <v>1781</v>
      </c>
      <c r="G209" s="8">
        <v>1786</v>
      </c>
      <c r="H209" s="8">
        <v>1789</v>
      </c>
      <c r="I209" s="8">
        <v>1764</v>
      </c>
      <c r="J209" s="8">
        <v>1749</v>
      </c>
      <c r="K209" s="8">
        <v>1748</v>
      </c>
      <c r="L209" s="8">
        <v>1749</v>
      </c>
      <c r="M209" s="8">
        <v>1743.4253322799063</v>
      </c>
      <c r="N209" s="8">
        <v>1739.3567647329971</v>
      </c>
    </row>
    <row r="210" spans="1:14" x14ac:dyDescent="0.25">
      <c r="A210" s="6" t="s">
        <v>201</v>
      </c>
      <c r="B210" s="7" t="s">
        <v>9</v>
      </c>
      <c r="C210" s="7" t="s">
        <v>10</v>
      </c>
      <c r="D210" s="7"/>
      <c r="E210" s="8">
        <v>2.88</v>
      </c>
      <c r="F210" s="8">
        <v>3.24</v>
      </c>
      <c r="G210" s="8">
        <v>3.65</v>
      </c>
      <c r="H210" s="8">
        <v>5.21</v>
      </c>
      <c r="I210" s="8">
        <v>5.34</v>
      </c>
      <c r="J210" s="8">
        <v>4.4400000000000004</v>
      </c>
      <c r="K210" s="8">
        <v>4.67</v>
      </c>
      <c r="L210" s="8">
        <v>5.15</v>
      </c>
      <c r="M210" s="8">
        <v>5.6771428571428562</v>
      </c>
      <c r="N210" s="8">
        <v>6.2459259259259268</v>
      </c>
    </row>
    <row r="211" spans="1:14" x14ac:dyDescent="0.25">
      <c r="A211" s="6" t="s">
        <v>17</v>
      </c>
      <c r="B211" s="7"/>
      <c r="C211" s="7"/>
      <c r="D211" s="7"/>
      <c r="E211" s="8"/>
      <c r="F211" s="8"/>
      <c r="G211" s="8"/>
      <c r="H211" s="8"/>
      <c r="I211" s="8"/>
      <c r="J211" s="8"/>
      <c r="K211" s="8"/>
      <c r="L211" s="8"/>
      <c r="M211" s="8"/>
      <c r="N211" s="8"/>
    </row>
    <row r="212" spans="1:14" x14ac:dyDescent="0.25">
      <c r="A212" s="6" t="s">
        <v>604</v>
      </c>
      <c r="B212" s="7" t="s">
        <v>203</v>
      </c>
      <c r="C212" s="7" t="s">
        <v>204</v>
      </c>
      <c r="D212" s="7"/>
      <c r="E212" s="8">
        <v>1.1599999999999999</v>
      </c>
      <c r="F212" s="8">
        <v>1.32</v>
      </c>
      <c r="G212" s="8">
        <v>1.53</v>
      </c>
      <c r="H212" s="8">
        <v>1.82</v>
      </c>
      <c r="I212" s="8">
        <v>1.92</v>
      </c>
      <c r="J212" s="8">
        <v>2.08</v>
      </c>
      <c r="K212" s="8">
        <v>2.2000000000000002</v>
      </c>
      <c r="L212" s="8">
        <v>2.36</v>
      </c>
      <c r="M212" s="8">
        <v>2.5350000000000001</v>
      </c>
      <c r="N212" s="8">
        <v>2.6925000000000003</v>
      </c>
    </row>
    <row r="213" spans="1:14" x14ac:dyDescent="0.25">
      <c r="A213" s="6" t="s">
        <v>17</v>
      </c>
      <c r="B213" s="7"/>
      <c r="C213" s="7"/>
      <c r="D213" s="7"/>
      <c r="E213" s="8"/>
      <c r="F213" s="8"/>
      <c r="G213" s="8"/>
      <c r="H213" s="8"/>
      <c r="I213" s="8"/>
      <c r="J213" s="8"/>
      <c r="K213" s="8"/>
      <c r="L213" s="8"/>
      <c r="M213" s="8"/>
      <c r="N213" s="8"/>
    </row>
    <row r="214" spans="1:14" x14ac:dyDescent="0.25">
      <c r="A214" s="6" t="s">
        <v>205</v>
      </c>
      <c r="B214" s="7"/>
      <c r="C214" s="7"/>
      <c r="D214" s="7"/>
      <c r="E214" s="8"/>
      <c r="F214" s="8"/>
      <c r="G214" s="8"/>
      <c r="H214" s="8"/>
      <c r="I214" s="8"/>
      <c r="J214" s="8"/>
      <c r="K214" s="8"/>
      <c r="L214" s="8"/>
      <c r="M214" s="8"/>
      <c r="N214" s="8"/>
    </row>
    <row r="215" spans="1:14" x14ac:dyDescent="0.25">
      <c r="A215" s="6" t="s">
        <v>19</v>
      </c>
      <c r="B215" s="7" t="s">
        <v>20</v>
      </c>
      <c r="C215" s="7" t="s">
        <v>21</v>
      </c>
      <c r="D215" s="7"/>
      <c r="E215" s="8">
        <v>30578</v>
      </c>
      <c r="F215" s="8">
        <v>31904</v>
      </c>
      <c r="G215" s="8">
        <v>34608</v>
      </c>
      <c r="H215" s="8">
        <v>43075</v>
      </c>
      <c r="I215" s="8">
        <v>43653</v>
      </c>
      <c r="J215" s="8">
        <v>40109</v>
      </c>
      <c r="K215" s="8">
        <v>41950</v>
      </c>
      <c r="L215" s="8">
        <v>44328</v>
      </c>
      <c r="M215" s="8" t="s">
        <v>1483</v>
      </c>
      <c r="N215" s="8" t="s">
        <v>1483</v>
      </c>
    </row>
    <row r="216" spans="1:14" x14ac:dyDescent="0.25">
      <c r="A216" s="6" t="s">
        <v>603</v>
      </c>
      <c r="B216" s="7" t="s">
        <v>207</v>
      </c>
      <c r="C216" s="7" t="s">
        <v>208</v>
      </c>
      <c r="D216" s="7"/>
      <c r="E216" s="8">
        <v>12706</v>
      </c>
      <c r="F216" s="8">
        <v>13231</v>
      </c>
      <c r="G216" s="8">
        <v>15003</v>
      </c>
      <c r="H216" s="8">
        <v>18537</v>
      </c>
      <c r="I216" s="8">
        <v>19142</v>
      </c>
      <c r="J216" s="8">
        <v>17975</v>
      </c>
      <c r="K216" s="8">
        <v>18706</v>
      </c>
      <c r="L216" s="8">
        <v>19319</v>
      </c>
      <c r="M216" s="8">
        <v>20612.101038151955</v>
      </c>
      <c r="N216" s="8">
        <v>21955.182797001464</v>
      </c>
    </row>
    <row r="217" spans="1:14" x14ac:dyDescent="0.25">
      <c r="A217" s="6" t="s">
        <v>155</v>
      </c>
      <c r="B217" s="7" t="s">
        <v>209</v>
      </c>
      <c r="C217" s="7" t="s">
        <v>210</v>
      </c>
      <c r="D217" s="7"/>
      <c r="E217" s="8">
        <v>41.552750343384133</v>
      </c>
      <c r="F217" s="8">
        <v>41.471288866599799</v>
      </c>
      <c r="G217" s="8">
        <v>43.351248266296807</v>
      </c>
      <c r="H217" s="8">
        <v>43.03424260011608</v>
      </c>
      <c r="I217" s="8">
        <v>43.850365381531624</v>
      </c>
      <c r="J217" s="8">
        <v>44.815378094691965</v>
      </c>
      <c r="K217" s="8">
        <v>44.591179976162095</v>
      </c>
      <c r="L217" s="8">
        <v>43.581934668832339</v>
      </c>
      <c r="M217" s="8">
        <v>43.005830822952063</v>
      </c>
      <c r="N217" s="8">
        <v>42.646774554817604</v>
      </c>
    </row>
    <row r="218" spans="1:14" x14ac:dyDescent="0.25">
      <c r="A218" s="6" t="s">
        <v>214</v>
      </c>
      <c r="B218" s="7"/>
      <c r="C218" s="7"/>
      <c r="D218" s="7"/>
      <c r="E218" s="8"/>
      <c r="F218" s="8"/>
      <c r="G218" s="8"/>
      <c r="H218" s="8"/>
      <c r="I218" s="8"/>
      <c r="J218" s="8"/>
      <c r="K218" s="8"/>
      <c r="L218" s="8"/>
      <c r="M218" s="8"/>
      <c r="N218" s="8"/>
    </row>
    <row r="219" spans="1:14" x14ac:dyDescent="0.25">
      <c r="A219" s="6" t="s">
        <v>1143</v>
      </c>
      <c r="B219" s="7" t="s">
        <v>599</v>
      </c>
      <c r="C219" s="7" t="s">
        <v>598</v>
      </c>
      <c r="D219" s="7"/>
      <c r="E219" s="8">
        <v>9744</v>
      </c>
      <c r="F219" s="8">
        <v>9765</v>
      </c>
      <c r="G219" s="8">
        <v>9696</v>
      </c>
      <c r="H219" s="8">
        <v>11324</v>
      </c>
      <c r="I219" s="8">
        <v>11248</v>
      </c>
      <c r="J219" s="8">
        <v>10949</v>
      </c>
      <c r="K219" s="8">
        <v>11697</v>
      </c>
      <c r="L219" s="8">
        <v>12332</v>
      </c>
      <c r="M219" s="8">
        <v>13297.510865405557</v>
      </c>
      <c r="N219" s="8">
        <v>14325.354833376023</v>
      </c>
    </row>
    <row r="220" spans="1:14" x14ac:dyDescent="0.25">
      <c r="A220" s="6" t="s">
        <v>222</v>
      </c>
      <c r="B220" s="7" t="s">
        <v>223</v>
      </c>
      <c r="C220" s="7" t="s">
        <v>224</v>
      </c>
      <c r="D220" s="7"/>
      <c r="E220" s="8">
        <v>31.866047485120021</v>
      </c>
      <c r="F220" s="8">
        <v>30.607447342026077</v>
      </c>
      <c r="G220" s="8">
        <v>28.016643550624135</v>
      </c>
      <c r="H220" s="8">
        <v>26.289030760301799</v>
      </c>
      <c r="I220" s="8">
        <v>25.766843057750901</v>
      </c>
      <c r="J220" s="8">
        <v>27.298112643047695</v>
      </c>
      <c r="K220" s="8">
        <v>27.883194278903456</v>
      </c>
      <c r="L220" s="8">
        <v>27.819888106839919</v>
      </c>
      <c r="M220" s="8">
        <v>27.991136285045798</v>
      </c>
      <c r="N220" s="8">
        <v>27.844862929193642</v>
      </c>
    </row>
    <row r="221" spans="1:14" x14ac:dyDescent="0.25">
      <c r="A221" s="6" t="s">
        <v>1142</v>
      </c>
      <c r="B221" s="7" t="s">
        <v>226</v>
      </c>
      <c r="C221" s="7" t="s">
        <v>227</v>
      </c>
      <c r="D221" s="7"/>
      <c r="E221" s="8">
        <v>2300</v>
      </c>
      <c r="F221" s="8">
        <v>2440</v>
      </c>
      <c r="G221" s="8">
        <v>2420</v>
      </c>
      <c r="H221" s="8">
        <v>2742</v>
      </c>
      <c r="I221" s="8">
        <v>2888</v>
      </c>
      <c r="J221" s="8">
        <v>2741</v>
      </c>
      <c r="K221" s="8">
        <v>2844</v>
      </c>
      <c r="L221" s="8">
        <v>2942</v>
      </c>
      <c r="M221" s="8">
        <v>3164.6795960523114</v>
      </c>
      <c r="N221" s="8">
        <v>3361.5440605494719</v>
      </c>
    </row>
    <row r="222" spans="1:14" x14ac:dyDescent="0.25">
      <c r="A222" s="6" t="s">
        <v>222</v>
      </c>
      <c r="B222" s="7" t="s">
        <v>601</v>
      </c>
      <c r="C222" s="7" t="s">
        <v>600</v>
      </c>
      <c r="D222" s="7"/>
      <c r="E222" s="8">
        <v>7.5217476617175745</v>
      </c>
      <c r="F222" s="8">
        <v>7.6479438314944828</v>
      </c>
      <c r="G222" s="8">
        <v>6.9926028663892748</v>
      </c>
      <c r="H222" s="8">
        <v>6.3656413232733602</v>
      </c>
      <c r="I222" s="8">
        <v>6.6158110553684741</v>
      </c>
      <c r="J222" s="8">
        <v>6.8338776833129717</v>
      </c>
      <c r="K222" s="8">
        <v>6.7794994040524426</v>
      </c>
      <c r="L222" s="8">
        <v>6.6368886482584379</v>
      </c>
      <c r="M222" s="8">
        <v>6.5546070864003338</v>
      </c>
      <c r="N222" s="8">
        <v>6.4626856674707129</v>
      </c>
    </row>
    <row r="223" spans="1:14" x14ac:dyDescent="0.25">
      <c r="A223" s="6" t="s">
        <v>228</v>
      </c>
      <c r="B223" s="7" t="s">
        <v>1141</v>
      </c>
      <c r="C223" s="7" t="s">
        <v>1140</v>
      </c>
      <c r="D223" s="7"/>
      <c r="E223" s="8">
        <v>3650</v>
      </c>
      <c r="F223" s="8">
        <v>4532</v>
      </c>
      <c r="G223" s="8">
        <v>5357</v>
      </c>
      <c r="H223" s="8">
        <v>8425</v>
      </c>
      <c r="I223" s="8">
        <v>8362</v>
      </c>
      <c r="J223" s="8">
        <v>6478</v>
      </c>
      <c r="K223" s="8">
        <v>6825</v>
      </c>
      <c r="L223" s="8">
        <v>8053</v>
      </c>
      <c r="M223" s="8">
        <v>9371.6160073913525</v>
      </c>
      <c r="N223" s="8">
        <v>10416.219620811326</v>
      </c>
    </row>
    <row r="224" spans="1:14" x14ac:dyDescent="0.25">
      <c r="A224" s="6" t="s">
        <v>1139</v>
      </c>
      <c r="B224" s="7" t="s">
        <v>1138</v>
      </c>
      <c r="C224" s="7" t="s">
        <v>1137</v>
      </c>
      <c r="D224" s="7"/>
      <c r="E224" s="8">
        <v>11.936686506638759</v>
      </c>
      <c r="F224" s="8">
        <v>14.205115346038113</v>
      </c>
      <c r="G224" s="8">
        <v>15.479079981507166</v>
      </c>
      <c r="H224" s="8">
        <v>19.558908879860709</v>
      </c>
      <c r="I224" s="8">
        <v>19.155613588985865</v>
      </c>
      <c r="J224" s="8">
        <v>16.150988556184398</v>
      </c>
      <c r="K224" s="8">
        <v>16.269368295589988</v>
      </c>
      <c r="L224" s="8">
        <v>18.166847139505503</v>
      </c>
      <c r="M224" s="8">
        <v>19.629715764616805</v>
      </c>
      <c r="N224" s="8">
        <v>20.613034909467789</v>
      </c>
    </row>
    <row r="225" spans="1:14" x14ac:dyDescent="0.25">
      <c r="A225" s="6" t="s">
        <v>1136</v>
      </c>
      <c r="B225" s="7" t="s">
        <v>1135</v>
      </c>
      <c r="C225" s="7" t="s">
        <v>1134</v>
      </c>
      <c r="D225" s="7"/>
      <c r="E225" s="8">
        <v>6960</v>
      </c>
      <c r="F225" s="8">
        <v>7860</v>
      </c>
      <c r="G225" s="8">
        <v>9013</v>
      </c>
      <c r="H225" s="8">
        <v>12322</v>
      </c>
      <c r="I225" s="8">
        <v>11984</v>
      </c>
      <c r="J225" s="8">
        <v>10077</v>
      </c>
      <c r="K225" s="8">
        <v>10409</v>
      </c>
      <c r="L225" s="8">
        <v>11560</v>
      </c>
      <c r="M225" s="8">
        <v>12880.623611954745</v>
      </c>
      <c r="N225" s="8">
        <v>14113.900288985635</v>
      </c>
    </row>
    <row r="226" spans="1:14" x14ac:dyDescent="0.25">
      <c r="A226" s="6" t="s">
        <v>1133</v>
      </c>
      <c r="B226" s="7" t="s">
        <v>180</v>
      </c>
      <c r="C226" s="7" t="s">
        <v>181</v>
      </c>
      <c r="D226" s="7"/>
      <c r="E226" s="8">
        <v>22.761462489371443</v>
      </c>
      <c r="F226" s="8">
        <v>24.63640922768305</v>
      </c>
      <c r="G226" s="8">
        <v>26.043111419325012</v>
      </c>
      <c r="H226" s="8">
        <v>28.605919907138709</v>
      </c>
      <c r="I226" s="8">
        <v>27.452866927817105</v>
      </c>
      <c r="J226" s="8">
        <v>25.124036999177239</v>
      </c>
      <c r="K226" s="8">
        <v>24.812872467222885</v>
      </c>
      <c r="L226" s="8">
        <v>26.078325212055585</v>
      </c>
      <c r="M226" s="8">
        <v>26.775028951056299</v>
      </c>
      <c r="N226" s="8">
        <v>27.386138698376222</v>
      </c>
    </row>
    <row r="227" spans="1:14" x14ac:dyDescent="0.25">
      <c r="A227" s="6" t="s">
        <v>1132</v>
      </c>
      <c r="B227" s="7" t="s">
        <v>1131</v>
      </c>
      <c r="C227" s="7" t="s">
        <v>1130</v>
      </c>
      <c r="D227" s="7"/>
      <c r="E227" s="8">
        <v>28</v>
      </c>
      <c r="F227" s="8">
        <v>-128</v>
      </c>
      <c r="G227" s="8">
        <v>-103</v>
      </c>
      <c r="H227" s="8">
        <v>-277</v>
      </c>
      <c r="I227" s="8">
        <v>-321</v>
      </c>
      <c r="J227" s="8">
        <v>-479</v>
      </c>
      <c r="K227" s="8">
        <v>-376</v>
      </c>
      <c r="L227" s="8">
        <v>-548</v>
      </c>
      <c r="M227" s="8">
        <v>-380</v>
      </c>
      <c r="N227" s="8">
        <v>-335</v>
      </c>
    </row>
    <row r="228" spans="1:14" x14ac:dyDescent="0.25">
      <c r="A228" s="6" t="s">
        <v>1129</v>
      </c>
      <c r="B228" s="7" t="s">
        <v>235</v>
      </c>
      <c r="C228" s="7" t="s">
        <v>236</v>
      </c>
      <c r="D228" s="7"/>
      <c r="E228" s="8">
        <v>2873</v>
      </c>
      <c r="F228" s="8">
        <v>4077</v>
      </c>
      <c r="G228" s="8">
        <v>4968</v>
      </c>
      <c r="H228" s="8">
        <v>8211</v>
      </c>
      <c r="I228" s="8">
        <v>8306</v>
      </c>
      <c r="J228" s="8">
        <v>6664</v>
      </c>
      <c r="K228" s="8">
        <v>7013</v>
      </c>
      <c r="L228" s="8">
        <v>8466</v>
      </c>
      <c r="M228" s="8">
        <v>9380.224560868015</v>
      </c>
      <c r="N228" s="8">
        <v>10577.913874212181</v>
      </c>
    </row>
    <row r="229" spans="1:14" x14ac:dyDescent="0.25">
      <c r="A229" s="6" t="s">
        <v>155</v>
      </c>
      <c r="B229" s="7" t="s">
        <v>1128</v>
      </c>
      <c r="C229" s="7" t="s">
        <v>1127</v>
      </c>
      <c r="D229" s="7"/>
      <c r="E229" s="8">
        <v>9.3956439270063452</v>
      </c>
      <c r="F229" s="8">
        <v>12.778961885656971</v>
      </c>
      <c r="G229" s="8">
        <v>14.35506241331484</v>
      </c>
      <c r="H229" s="8">
        <v>19.062100986651188</v>
      </c>
      <c r="I229" s="8">
        <v>19.027329164089526</v>
      </c>
      <c r="J229" s="8">
        <v>16.614724874716398</v>
      </c>
      <c r="K229" s="8">
        <v>16.71752085816448</v>
      </c>
      <c r="L229" s="8">
        <v>19.098538170005416</v>
      </c>
      <c r="M229" s="8">
        <v>18.764964256278233</v>
      </c>
      <c r="N229" s="8">
        <v>20.654592662541198</v>
      </c>
    </row>
    <row r="230" spans="1:14" x14ac:dyDescent="0.25">
      <c r="A230" s="6" t="s">
        <v>237</v>
      </c>
      <c r="B230" s="7" t="s">
        <v>238</v>
      </c>
      <c r="C230" s="7" t="s">
        <v>239</v>
      </c>
      <c r="D230" s="7"/>
      <c r="E230" s="8">
        <v>539</v>
      </c>
      <c r="F230" s="8">
        <v>390</v>
      </c>
      <c r="G230" s="8">
        <v>497</v>
      </c>
      <c r="H230" s="8">
        <v>1140</v>
      </c>
      <c r="I230" s="8">
        <v>1373</v>
      </c>
      <c r="J230" s="8">
        <v>941</v>
      </c>
      <c r="K230" s="8">
        <v>-6389</v>
      </c>
      <c r="L230" s="8">
        <v>1942</v>
      </c>
      <c r="M230" s="8">
        <v>1514.8089680973142</v>
      </c>
      <c r="N230" s="8">
        <v>1660.2899757429354</v>
      </c>
    </row>
    <row r="231" spans="1:14" x14ac:dyDescent="0.25">
      <c r="A231" s="6" t="s">
        <v>597</v>
      </c>
      <c r="B231" s="7" t="s">
        <v>596</v>
      </c>
      <c r="C231" s="7" t="s">
        <v>595</v>
      </c>
      <c r="D231" s="7"/>
      <c r="E231" s="8">
        <v>18.760877131917855</v>
      </c>
      <c r="F231" s="8">
        <v>9.565857247976453</v>
      </c>
      <c r="G231" s="8">
        <v>10.00402576489533</v>
      </c>
      <c r="H231" s="8">
        <v>13.883814395323347</v>
      </c>
      <c r="I231" s="8">
        <v>16.530219118709368</v>
      </c>
      <c r="J231" s="8">
        <v>14.120648259303721</v>
      </c>
      <c r="K231" s="8" t="s">
        <v>1483</v>
      </c>
      <c r="L231" s="8">
        <v>22.938814079848807</v>
      </c>
      <c r="M231" s="8">
        <v>16.258092526748943</v>
      </c>
      <c r="N231" s="8">
        <v>16.042695637787002</v>
      </c>
    </row>
    <row r="232" spans="1:14" x14ac:dyDescent="0.25">
      <c r="A232" s="6" t="s">
        <v>240</v>
      </c>
      <c r="B232" s="7" t="s">
        <v>241</v>
      </c>
      <c r="C232" s="7" t="s">
        <v>242</v>
      </c>
      <c r="D232" s="7"/>
      <c r="E232" s="8">
        <v>2334</v>
      </c>
      <c r="F232" s="8">
        <v>3687</v>
      </c>
      <c r="G232" s="8">
        <v>4471</v>
      </c>
      <c r="H232" s="8">
        <v>7071</v>
      </c>
      <c r="I232" s="8">
        <v>6933</v>
      </c>
      <c r="J232" s="8">
        <v>5723</v>
      </c>
      <c r="K232" s="8">
        <v>13402</v>
      </c>
      <c r="L232" s="8">
        <v>6524</v>
      </c>
      <c r="M232" s="8">
        <v>7965.85</v>
      </c>
      <c r="N232" s="8">
        <v>8805.9473684210534</v>
      </c>
    </row>
    <row r="233" spans="1:14" x14ac:dyDescent="0.25">
      <c r="A233" s="6" t="s">
        <v>594</v>
      </c>
      <c r="B233" s="7" t="s">
        <v>1126</v>
      </c>
      <c r="C233" s="7" t="s">
        <v>1125</v>
      </c>
      <c r="D233" s="7"/>
      <c r="E233" s="8">
        <v>7.7441297664987898</v>
      </c>
      <c r="F233" s="8">
        <v>11.556544633901705</v>
      </c>
      <c r="G233" s="8">
        <v>12.988326398520574</v>
      </c>
      <c r="H233" s="8">
        <v>16.415554265815437</v>
      </c>
      <c r="I233" s="8">
        <v>15.882069960827435</v>
      </c>
      <c r="J233" s="8">
        <v>14.268618015906654</v>
      </c>
      <c r="K233" s="8">
        <v>31.947556615017877</v>
      </c>
      <c r="L233" s="8">
        <v>14.717560007218914</v>
      </c>
      <c r="M233" s="8">
        <v>15.77044293726382</v>
      </c>
      <c r="N233" s="8">
        <v>16.389933257925588</v>
      </c>
    </row>
    <row r="234" spans="1:14" x14ac:dyDescent="0.25">
      <c r="A234" s="6" t="s">
        <v>246</v>
      </c>
      <c r="B234" s="7" t="s">
        <v>247</v>
      </c>
      <c r="C234" s="7" t="s">
        <v>248</v>
      </c>
      <c r="D234" s="7"/>
      <c r="E234" s="8">
        <v>1.31</v>
      </c>
      <c r="F234" s="8">
        <v>2.06</v>
      </c>
      <c r="G234" s="8">
        <v>2.4900000000000002</v>
      </c>
      <c r="H234" s="8">
        <v>3.94</v>
      </c>
      <c r="I234" s="8">
        <v>3.91</v>
      </c>
      <c r="J234" s="8">
        <v>3.26</v>
      </c>
      <c r="K234" s="8">
        <v>7.64</v>
      </c>
      <c r="L234" s="8">
        <v>3.72</v>
      </c>
      <c r="M234" s="8">
        <v>4.4935294117647064</v>
      </c>
      <c r="N234" s="8">
        <v>5.0541176470588249</v>
      </c>
    </row>
    <row r="235" spans="1:14" x14ac:dyDescent="0.25">
      <c r="A235" s="6" t="s">
        <v>17</v>
      </c>
      <c r="B235" s="7"/>
      <c r="C235" s="7"/>
      <c r="D235" s="7"/>
      <c r="E235" s="8"/>
      <c r="F235" s="8"/>
      <c r="G235" s="8"/>
      <c r="H235" s="8"/>
      <c r="I235" s="8"/>
      <c r="J235" s="8"/>
      <c r="K235" s="8"/>
      <c r="L235" s="8"/>
      <c r="M235" s="8"/>
      <c r="N235" s="8"/>
    </row>
    <row r="236" spans="1:14" x14ac:dyDescent="0.25">
      <c r="A236" s="6" t="s">
        <v>249</v>
      </c>
      <c r="B236" s="7"/>
      <c r="C236" s="7"/>
      <c r="D236" s="7"/>
      <c r="E236" s="8"/>
      <c r="F236" s="8"/>
      <c r="G236" s="8"/>
      <c r="H236" s="8"/>
      <c r="I236" s="8"/>
      <c r="J236" s="8"/>
      <c r="K236" s="8"/>
      <c r="L236" s="8"/>
      <c r="M236" s="8"/>
      <c r="N236" s="8"/>
    </row>
    <row r="237" spans="1:14" x14ac:dyDescent="0.25">
      <c r="A237" s="6" t="s">
        <v>1124</v>
      </c>
      <c r="B237" s="7" t="s">
        <v>1123</v>
      </c>
      <c r="C237" s="7" t="s">
        <v>1122</v>
      </c>
      <c r="D237" s="7"/>
      <c r="E237" s="8">
        <v>512</v>
      </c>
      <c r="F237" s="8">
        <v>294</v>
      </c>
      <c r="G237" s="8">
        <v>181</v>
      </c>
      <c r="H237" s="8">
        <v>151</v>
      </c>
      <c r="I237" s="8">
        <v>145</v>
      </c>
      <c r="J237" s="8">
        <v>53</v>
      </c>
      <c r="K237" s="8">
        <v>199</v>
      </c>
      <c r="L237" s="8">
        <v>83</v>
      </c>
      <c r="M237" s="8">
        <v>40</v>
      </c>
      <c r="N237" s="8">
        <v>20</v>
      </c>
    </row>
    <row r="238" spans="1:14" x14ac:dyDescent="0.25">
      <c r="A238" s="6" t="s">
        <v>1121</v>
      </c>
      <c r="B238" s="7" t="s">
        <v>251</v>
      </c>
      <c r="C238" s="7" t="s">
        <v>252</v>
      </c>
      <c r="D238" s="7"/>
      <c r="E238" s="8">
        <v>153</v>
      </c>
      <c r="F238" s="8">
        <v>215</v>
      </c>
      <c r="G238" s="8">
        <v>123</v>
      </c>
      <c r="H238" s="8">
        <v>374</v>
      </c>
      <c r="I238" s="8">
        <v>264</v>
      </c>
      <c r="J238" s="8">
        <v>122</v>
      </c>
      <c r="K238" s="8">
        <v>185</v>
      </c>
      <c r="L238" s="8">
        <v>287</v>
      </c>
      <c r="M238" s="8">
        <v>175</v>
      </c>
      <c r="N238" s="8">
        <v>100</v>
      </c>
    </row>
    <row r="239" spans="1:14" x14ac:dyDescent="0.25">
      <c r="A239" s="6" t="s">
        <v>1120</v>
      </c>
      <c r="B239" s="7" t="s">
        <v>1119</v>
      </c>
      <c r="C239" s="7" t="s">
        <v>1118</v>
      </c>
      <c r="D239" s="7"/>
      <c r="E239" s="8">
        <v>365</v>
      </c>
      <c r="F239" s="8">
        <v>240</v>
      </c>
      <c r="G239" s="8">
        <v>75</v>
      </c>
      <c r="H239" s="8">
        <v>317</v>
      </c>
      <c r="I239" s="8">
        <v>236</v>
      </c>
      <c r="J239" s="8">
        <v>102</v>
      </c>
      <c r="K239" s="8">
        <v>117</v>
      </c>
      <c r="L239" s="8">
        <v>312</v>
      </c>
      <c r="M239" s="8">
        <v>1016</v>
      </c>
      <c r="N239" s="8">
        <v>1016</v>
      </c>
    </row>
    <row r="240" spans="1:14" x14ac:dyDescent="0.25">
      <c r="A240" s="6" t="s">
        <v>1117</v>
      </c>
      <c r="B240" s="7" t="s">
        <v>1116</v>
      </c>
      <c r="C240" s="7" t="s">
        <v>1115</v>
      </c>
      <c r="D240" s="7"/>
      <c r="E240" s="8">
        <v>87</v>
      </c>
      <c r="F240" s="8">
        <v>198</v>
      </c>
      <c r="G240" s="8">
        <v>125</v>
      </c>
      <c r="H240" s="8">
        <v>106</v>
      </c>
      <c r="I240" s="8">
        <v>282</v>
      </c>
      <c r="J240" s="8">
        <v>222</v>
      </c>
      <c r="K240" s="8">
        <v>140</v>
      </c>
      <c r="L240" s="8">
        <v>112</v>
      </c>
      <c r="M240" s="8">
        <v>116</v>
      </c>
      <c r="N240" s="8">
        <v>116</v>
      </c>
    </row>
    <row r="241" spans="1:14" x14ac:dyDescent="0.25">
      <c r="A241" s="6" t="s">
        <v>1114</v>
      </c>
      <c r="B241" s="7" t="s">
        <v>1113</v>
      </c>
      <c r="C241" s="7" t="s">
        <v>1112</v>
      </c>
      <c r="D241" s="7"/>
      <c r="E241" s="8">
        <v>-303</v>
      </c>
      <c r="F241" s="8">
        <v>-369</v>
      </c>
      <c r="G241" s="8">
        <v>-249</v>
      </c>
      <c r="H241" s="8">
        <v>-578</v>
      </c>
      <c r="I241" s="8">
        <v>-391</v>
      </c>
      <c r="J241" s="8">
        <v>-329</v>
      </c>
      <c r="K241" s="8">
        <v>-7835</v>
      </c>
      <c r="L241" s="8">
        <v>220</v>
      </c>
      <c r="M241" s="8">
        <v>-288.40750000000003</v>
      </c>
      <c r="N241" s="8">
        <v>-280.14999999999998</v>
      </c>
    </row>
    <row r="242" spans="1:14" x14ac:dyDescent="0.25">
      <c r="A242" s="6" t="s">
        <v>17</v>
      </c>
      <c r="B242" s="7"/>
      <c r="C242" s="7"/>
      <c r="D242" s="7"/>
      <c r="E242" s="8"/>
      <c r="F242" s="8"/>
      <c r="G242" s="8"/>
      <c r="H242" s="8"/>
      <c r="I242" s="8"/>
      <c r="J242" s="8"/>
      <c r="K242" s="8"/>
      <c r="L242" s="8"/>
      <c r="M242" s="8"/>
      <c r="N242" s="8"/>
    </row>
    <row r="243" spans="1:14" x14ac:dyDescent="0.25">
      <c r="A243" s="6" t="s">
        <v>253</v>
      </c>
      <c r="B243" s="7"/>
      <c r="C243" s="7"/>
      <c r="D243" s="7"/>
      <c r="E243" s="8"/>
      <c r="F243" s="8"/>
      <c r="G243" s="8"/>
      <c r="H243" s="8"/>
      <c r="I243" s="8"/>
      <c r="J243" s="8"/>
      <c r="K243" s="8"/>
      <c r="L243" s="8"/>
      <c r="M243" s="8"/>
      <c r="N243" s="8"/>
    </row>
    <row r="244" spans="1:14" x14ac:dyDescent="0.25">
      <c r="A244" s="6" t="s">
        <v>254</v>
      </c>
      <c r="B244" s="7"/>
      <c r="C244" s="7"/>
      <c r="D244" s="7"/>
      <c r="E244" s="8"/>
      <c r="F244" s="8"/>
      <c r="G244" s="8"/>
      <c r="H244" s="8"/>
      <c r="I244" s="8"/>
      <c r="J244" s="8"/>
      <c r="K244" s="8"/>
      <c r="L244" s="8"/>
      <c r="M244" s="8"/>
      <c r="N244" s="8"/>
    </row>
    <row r="245" spans="1:14" x14ac:dyDescent="0.25">
      <c r="A245" s="6" t="s">
        <v>255</v>
      </c>
      <c r="B245" s="7" t="s">
        <v>256</v>
      </c>
      <c r="C245" s="7" t="s">
        <v>257</v>
      </c>
      <c r="D245" s="7"/>
      <c r="E245" s="8">
        <v>14632</v>
      </c>
      <c r="F245" s="8">
        <v>15667</v>
      </c>
      <c r="G245" s="8">
        <v>20441</v>
      </c>
      <c r="H245" s="8">
        <v>24239</v>
      </c>
      <c r="I245" s="8">
        <v>25224</v>
      </c>
      <c r="J245" s="8">
        <v>22670</v>
      </c>
      <c r="K245" s="8">
        <v>23656</v>
      </c>
      <c r="L245" s="8">
        <v>25996</v>
      </c>
      <c r="M245" s="8">
        <v>28854.967351758107</v>
      </c>
      <c r="N245" s="8">
        <v>33340.426192317667</v>
      </c>
    </row>
    <row r="246" spans="1:14" x14ac:dyDescent="0.25">
      <c r="A246" s="6" t="s">
        <v>589</v>
      </c>
      <c r="B246" s="7" t="s">
        <v>259</v>
      </c>
      <c r="C246" s="7" t="s">
        <v>260</v>
      </c>
      <c r="D246" s="7"/>
      <c r="E246" s="8">
        <v>4086</v>
      </c>
      <c r="F246" s="8">
        <v>4140</v>
      </c>
      <c r="G246" s="8">
        <v>7148</v>
      </c>
      <c r="H246" s="8">
        <v>10249</v>
      </c>
      <c r="I246" s="8">
        <v>10170</v>
      </c>
      <c r="J246" s="8">
        <v>7279</v>
      </c>
      <c r="K246" s="8">
        <v>7967</v>
      </c>
      <c r="L246" s="8">
        <v>8939</v>
      </c>
      <c r="M246" s="8">
        <v>10636.576309372029</v>
      </c>
      <c r="N246" s="8">
        <v>13037.629632887649</v>
      </c>
    </row>
    <row r="247" spans="1:14" x14ac:dyDescent="0.25">
      <c r="A247" s="6" t="s">
        <v>1111</v>
      </c>
      <c r="B247" s="7" t="s">
        <v>262</v>
      </c>
      <c r="C247" s="7" t="s">
        <v>263</v>
      </c>
      <c r="D247" s="7"/>
      <c r="E247" s="8">
        <v>3844</v>
      </c>
      <c r="F247" s="8">
        <v>3860</v>
      </c>
      <c r="G247" s="8">
        <v>6838</v>
      </c>
      <c r="H247" s="8">
        <v>9799</v>
      </c>
      <c r="I247" s="8">
        <v>9882</v>
      </c>
      <c r="J247" s="8">
        <v>6896</v>
      </c>
      <c r="K247" s="8">
        <v>7616</v>
      </c>
      <c r="L247" s="8">
        <v>8522</v>
      </c>
      <c r="M247" s="8">
        <v>11282.108999699523</v>
      </c>
      <c r="N247" s="8">
        <v>14578.961306376053</v>
      </c>
    </row>
    <row r="248" spans="1:14" x14ac:dyDescent="0.25">
      <c r="A248" s="6" t="s">
        <v>267</v>
      </c>
      <c r="B248" s="7" t="s">
        <v>268</v>
      </c>
      <c r="C248" s="7" t="s">
        <v>269</v>
      </c>
      <c r="D248" s="7"/>
      <c r="E248" s="8">
        <v>5182</v>
      </c>
      <c r="F248" s="8">
        <v>5425</v>
      </c>
      <c r="G248" s="8">
        <v>6414</v>
      </c>
      <c r="H248" s="8">
        <v>6487</v>
      </c>
      <c r="I248" s="8">
        <v>6218</v>
      </c>
      <c r="J248" s="8">
        <v>6565</v>
      </c>
      <c r="K248" s="8">
        <v>6925</v>
      </c>
      <c r="L248" s="8">
        <v>7929</v>
      </c>
      <c r="M248" s="8">
        <v>8181.7295960362944</v>
      </c>
      <c r="N248" s="8">
        <v>8723.7323445574239</v>
      </c>
    </row>
    <row r="249" spans="1:14" x14ac:dyDescent="0.25">
      <c r="A249" s="6" t="s">
        <v>270</v>
      </c>
      <c r="B249" s="7" t="s">
        <v>271</v>
      </c>
      <c r="C249" s="7" t="s">
        <v>272</v>
      </c>
      <c r="D249" s="7"/>
      <c r="E249" s="8">
        <v>3796</v>
      </c>
      <c r="F249" s="8">
        <v>4316</v>
      </c>
      <c r="G249" s="8">
        <v>5012</v>
      </c>
      <c r="H249" s="8">
        <v>5157</v>
      </c>
      <c r="I249" s="8">
        <v>6173</v>
      </c>
      <c r="J249" s="8">
        <v>6570</v>
      </c>
      <c r="K249" s="8">
        <v>6194</v>
      </c>
      <c r="L249" s="8">
        <v>6488</v>
      </c>
      <c r="M249" s="8">
        <v>7285.6487753900337</v>
      </c>
      <c r="N249" s="8">
        <v>7799.0794173593467</v>
      </c>
    </row>
    <row r="250" spans="1:14" x14ac:dyDescent="0.25">
      <c r="A250" s="6" t="s">
        <v>1110</v>
      </c>
      <c r="B250" s="7" t="s">
        <v>1109</v>
      </c>
      <c r="C250" s="7" t="s">
        <v>1108</v>
      </c>
      <c r="D250" s="7"/>
      <c r="E250" s="8">
        <v>897</v>
      </c>
      <c r="F250" s="8">
        <v>883</v>
      </c>
      <c r="G250" s="8">
        <v>821</v>
      </c>
      <c r="H250" s="8">
        <v>816</v>
      </c>
      <c r="I250" s="8">
        <v>766</v>
      </c>
      <c r="J250" s="8">
        <v>799</v>
      </c>
      <c r="K250" s="8">
        <v>886</v>
      </c>
      <c r="L250" s="8">
        <v>918</v>
      </c>
      <c r="M250" s="8">
        <v>935.99644524440487</v>
      </c>
      <c r="N250" s="8">
        <v>940.54729267436278</v>
      </c>
    </row>
    <row r="251" spans="1:14" x14ac:dyDescent="0.25">
      <c r="A251" s="6" t="s">
        <v>1107</v>
      </c>
      <c r="B251" s="7" t="s">
        <v>265</v>
      </c>
      <c r="C251" s="7" t="s">
        <v>266</v>
      </c>
      <c r="D251" s="7"/>
      <c r="E251" s="8">
        <v>242</v>
      </c>
      <c r="F251" s="8">
        <v>280</v>
      </c>
      <c r="G251" s="8">
        <v>310</v>
      </c>
      <c r="H251" s="8">
        <v>450</v>
      </c>
      <c r="I251" s="8">
        <v>288</v>
      </c>
      <c r="J251" s="8">
        <v>383</v>
      </c>
      <c r="K251" s="8">
        <v>351</v>
      </c>
      <c r="L251" s="8">
        <v>417</v>
      </c>
      <c r="M251" s="8">
        <v>300.25074133156744</v>
      </c>
      <c r="N251" s="8">
        <v>312.51701027812697</v>
      </c>
    </row>
    <row r="252" spans="1:14" x14ac:dyDescent="0.25">
      <c r="A252" s="6" t="s">
        <v>1106</v>
      </c>
      <c r="B252" s="7" t="s">
        <v>1105</v>
      </c>
      <c r="C252" s="7" t="s">
        <v>1104</v>
      </c>
      <c r="D252" s="7"/>
      <c r="E252" s="8">
        <v>1559</v>
      </c>
      <c r="F252" s="8">
        <v>1786</v>
      </c>
      <c r="G252" s="8">
        <v>1867</v>
      </c>
      <c r="H252" s="8">
        <v>2346</v>
      </c>
      <c r="I252" s="8">
        <v>2663</v>
      </c>
      <c r="J252" s="8">
        <v>2256</v>
      </c>
      <c r="K252" s="8">
        <v>2570</v>
      </c>
      <c r="L252" s="8">
        <v>2640</v>
      </c>
      <c r="M252" s="8">
        <v>2663.1888040125114</v>
      </c>
      <c r="N252" s="8">
        <v>2824.0149996885584</v>
      </c>
    </row>
    <row r="253" spans="1:14" x14ac:dyDescent="0.25">
      <c r="A253" s="6" t="s">
        <v>276</v>
      </c>
      <c r="B253" s="7" t="s">
        <v>277</v>
      </c>
      <c r="C253" s="7" t="s">
        <v>278</v>
      </c>
      <c r="D253" s="7"/>
      <c r="E253" s="8">
        <v>52541</v>
      </c>
      <c r="F253" s="8">
        <v>52220</v>
      </c>
      <c r="G253" s="8">
        <v>52107</v>
      </c>
      <c r="H253" s="8">
        <v>50957</v>
      </c>
      <c r="I253" s="8">
        <v>49214</v>
      </c>
      <c r="J253" s="8">
        <v>50544</v>
      </c>
      <c r="K253" s="8">
        <v>57758</v>
      </c>
      <c r="L253" s="8">
        <v>60717</v>
      </c>
      <c r="M253" s="8">
        <v>57334.421114207682</v>
      </c>
      <c r="N253" s="8">
        <v>56272.314534780708</v>
      </c>
    </row>
    <row r="254" spans="1:14" x14ac:dyDescent="0.25">
      <c r="A254" s="6" t="s">
        <v>1103</v>
      </c>
      <c r="B254" s="7" t="s">
        <v>280</v>
      </c>
      <c r="C254" s="7" t="s">
        <v>281</v>
      </c>
      <c r="D254" s="7"/>
      <c r="E254" s="8">
        <v>7563</v>
      </c>
      <c r="F254" s="8">
        <v>8038</v>
      </c>
      <c r="G254" s="8">
        <v>9029</v>
      </c>
      <c r="H254" s="8">
        <v>8959</v>
      </c>
      <c r="I254" s="8">
        <v>9162</v>
      </c>
      <c r="J254" s="8">
        <v>10154</v>
      </c>
      <c r="K254" s="8">
        <v>10658</v>
      </c>
      <c r="L254" s="8">
        <v>11816</v>
      </c>
      <c r="M254" s="8">
        <v>11956.976940730923</v>
      </c>
      <c r="N254" s="8">
        <v>12258.589170297057</v>
      </c>
    </row>
    <row r="255" spans="1:14" x14ac:dyDescent="0.25">
      <c r="A255" s="6" t="s">
        <v>1102</v>
      </c>
      <c r="B255" s="7" t="s">
        <v>286</v>
      </c>
      <c r="C255" s="7" t="s">
        <v>287</v>
      </c>
      <c r="D255" s="7"/>
      <c r="E255" s="8">
        <v>8143</v>
      </c>
      <c r="F255" s="8">
        <v>8761</v>
      </c>
      <c r="G255" s="8">
        <v>9764</v>
      </c>
      <c r="H255" s="8">
        <v>10405</v>
      </c>
      <c r="I255" s="8">
        <v>11050</v>
      </c>
      <c r="J255" s="8">
        <v>11779</v>
      </c>
      <c r="K255" s="8">
        <v>12082</v>
      </c>
      <c r="L255" s="8">
        <v>13406</v>
      </c>
      <c r="M255" s="8">
        <v>17855.895465270776</v>
      </c>
      <c r="N255" s="8">
        <v>21945.694300447612</v>
      </c>
    </row>
    <row r="256" spans="1:14" x14ac:dyDescent="0.25">
      <c r="A256" s="6" t="s">
        <v>282</v>
      </c>
      <c r="B256" s="7" t="s">
        <v>283</v>
      </c>
      <c r="C256" s="7" t="s">
        <v>284</v>
      </c>
      <c r="D256" s="7"/>
      <c r="E256" s="8">
        <v>15706</v>
      </c>
      <c r="F256" s="8">
        <v>16799</v>
      </c>
      <c r="G256" s="8">
        <v>18793</v>
      </c>
      <c r="H256" s="8">
        <v>19364</v>
      </c>
      <c r="I256" s="8">
        <v>20212</v>
      </c>
      <c r="J256" s="8">
        <v>21933</v>
      </c>
      <c r="K256" s="8">
        <v>22740</v>
      </c>
      <c r="L256" s="8">
        <v>25222</v>
      </c>
      <c r="M256" s="8">
        <v>27290.635738249999</v>
      </c>
      <c r="N256" s="8">
        <v>29540.612722282502</v>
      </c>
    </row>
    <row r="257" spans="1:14" x14ac:dyDescent="0.25">
      <c r="A257" s="6" t="s">
        <v>291</v>
      </c>
      <c r="B257" s="7" t="s">
        <v>292</v>
      </c>
      <c r="C257" s="7" t="s">
        <v>293</v>
      </c>
      <c r="D257" s="7"/>
      <c r="E257" s="8">
        <v>42196</v>
      </c>
      <c r="F257" s="8">
        <v>40220</v>
      </c>
      <c r="G257" s="8">
        <v>38528</v>
      </c>
      <c r="H257" s="8">
        <v>35970</v>
      </c>
      <c r="I257" s="8">
        <v>33253</v>
      </c>
      <c r="J257" s="8">
        <v>32494</v>
      </c>
      <c r="K257" s="8">
        <v>29755</v>
      </c>
      <c r="L257" s="8">
        <v>29561</v>
      </c>
      <c r="M257" s="8">
        <v>21771.59617647059</v>
      </c>
      <c r="N257" s="8">
        <v>20727.616348692809</v>
      </c>
    </row>
    <row r="258" spans="1:14" x14ac:dyDescent="0.25">
      <c r="A258" s="6" t="s">
        <v>294</v>
      </c>
      <c r="B258" s="7" t="s">
        <v>295</v>
      </c>
      <c r="C258" s="7" t="s">
        <v>296</v>
      </c>
      <c r="D258" s="7"/>
      <c r="E258" s="8">
        <v>23254</v>
      </c>
      <c r="F258" s="8">
        <v>23195</v>
      </c>
      <c r="G258" s="8">
        <v>23744</v>
      </c>
      <c r="H258" s="8">
        <v>23231</v>
      </c>
      <c r="I258" s="8">
        <v>22799</v>
      </c>
      <c r="J258" s="8">
        <v>23679</v>
      </c>
      <c r="K258" s="8">
        <v>23108</v>
      </c>
      <c r="L258" s="8">
        <v>24035</v>
      </c>
      <c r="M258" s="8">
        <v>24863.006522957588</v>
      </c>
      <c r="N258" s="8">
        <v>24734.626317518116</v>
      </c>
    </row>
    <row r="259" spans="1:14" x14ac:dyDescent="0.25">
      <c r="A259" s="6" t="s">
        <v>297</v>
      </c>
      <c r="B259" s="7" t="s">
        <v>298</v>
      </c>
      <c r="C259" s="7" t="s">
        <v>299</v>
      </c>
      <c r="D259" s="7"/>
      <c r="E259" s="8">
        <v>18942</v>
      </c>
      <c r="F259" s="8">
        <v>17025</v>
      </c>
      <c r="G259" s="8">
        <v>14784</v>
      </c>
      <c r="H259" s="8">
        <v>12739</v>
      </c>
      <c r="I259" s="8">
        <v>10454</v>
      </c>
      <c r="J259" s="8">
        <v>8815</v>
      </c>
      <c r="K259" s="8">
        <v>6647</v>
      </c>
      <c r="L259" s="8">
        <v>5526</v>
      </c>
      <c r="M259" s="8">
        <v>3973.2386096256687</v>
      </c>
      <c r="N259" s="8">
        <v>2740.5970970184371</v>
      </c>
    </row>
    <row r="260" spans="1:14" x14ac:dyDescent="0.25">
      <c r="A260" s="6" t="s">
        <v>1101</v>
      </c>
      <c r="B260" s="7" t="s">
        <v>300</v>
      </c>
      <c r="C260" s="7" t="s">
        <v>301</v>
      </c>
      <c r="D260" s="7"/>
      <c r="E260" s="8">
        <v>1885</v>
      </c>
      <c r="F260" s="8">
        <v>3079</v>
      </c>
      <c r="G260" s="8">
        <v>3729</v>
      </c>
      <c r="H260" s="8">
        <v>5212</v>
      </c>
      <c r="I260" s="8">
        <v>6033</v>
      </c>
      <c r="J260" s="8">
        <v>7097</v>
      </c>
      <c r="K260" s="8">
        <v>16459</v>
      </c>
      <c r="L260" s="8">
        <v>18422</v>
      </c>
      <c r="M260" s="8">
        <v>18060.439356696093</v>
      </c>
      <c r="N260" s="8">
        <v>17437.675409679261</v>
      </c>
    </row>
    <row r="261" spans="1:14" x14ac:dyDescent="0.25">
      <c r="A261" s="6" t="s">
        <v>302</v>
      </c>
      <c r="B261" s="7" t="s">
        <v>303</v>
      </c>
      <c r="C261" s="7" t="s">
        <v>304</v>
      </c>
      <c r="D261" s="7"/>
      <c r="E261" s="8">
        <v>67173</v>
      </c>
      <c r="F261" s="8">
        <v>67887</v>
      </c>
      <c r="G261" s="8">
        <v>72548</v>
      </c>
      <c r="H261" s="8">
        <v>75196</v>
      </c>
      <c r="I261" s="8">
        <v>74438</v>
      </c>
      <c r="J261" s="8">
        <v>73214</v>
      </c>
      <c r="K261" s="8">
        <v>81414</v>
      </c>
      <c r="L261" s="8">
        <v>86713</v>
      </c>
      <c r="M261" s="8">
        <v>87645.643720962005</v>
      </c>
      <c r="N261" s="8">
        <v>90727.476591127153</v>
      </c>
    </row>
    <row r="262" spans="1:14" x14ac:dyDescent="0.25">
      <c r="A262" s="6" t="s">
        <v>17</v>
      </c>
      <c r="B262" s="7"/>
      <c r="C262" s="7"/>
      <c r="D262" s="7"/>
      <c r="E262" s="8"/>
      <c r="F262" s="8"/>
      <c r="G262" s="8"/>
      <c r="H262" s="8"/>
      <c r="I262" s="8"/>
      <c r="J262" s="8"/>
      <c r="K262" s="8"/>
      <c r="L262" s="8"/>
      <c r="M262" s="8"/>
      <c r="N262" s="8"/>
    </row>
    <row r="263" spans="1:14" x14ac:dyDescent="0.25">
      <c r="A263" s="6" t="s">
        <v>305</v>
      </c>
      <c r="B263" s="7"/>
      <c r="C263" s="7"/>
      <c r="D263" s="7"/>
      <c r="E263" s="8"/>
      <c r="F263" s="8"/>
      <c r="G263" s="8"/>
      <c r="H263" s="8"/>
      <c r="I263" s="8"/>
      <c r="J263" s="8"/>
      <c r="K263" s="8"/>
      <c r="L263" s="8"/>
      <c r="M263" s="8"/>
      <c r="N263" s="8"/>
    </row>
    <row r="264" spans="1:14" x14ac:dyDescent="0.25">
      <c r="A264" s="6" t="s">
        <v>306</v>
      </c>
      <c r="B264" s="7" t="s">
        <v>307</v>
      </c>
      <c r="C264" s="7" t="s">
        <v>308</v>
      </c>
      <c r="D264" s="7"/>
      <c r="E264" s="8">
        <v>9012</v>
      </c>
      <c r="F264" s="8">
        <v>10863</v>
      </c>
      <c r="G264" s="8">
        <v>11907</v>
      </c>
      <c r="H264" s="8">
        <v>13105</v>
      </c>
      <c r="I264" s="8">
        <v>15489</v>
      </c>
      <c r="J264" s="8">
        <v>13841</v>
      </c>
      <c r="K264" s="8">
        <v>14157</v>
      </c>
      <c r="L264" s="8">
        <v>16496</v>
      </c>
      <c r="M264" s="8">
        <v>15131.516216082575</v>
      </c>
      <c r="N264" s="8">
        <v>15804.724756701851</v>
      </c>
    </row>
    <row r="265" spans="1:14" x14ac:dyDescent="0.25">
      <c r="A265" s="6" t="s">
        <v>309</v>
      </c>
      <c r="B265" s="7" t="s">
        <v>310</v>
      </c>
      <c r="C265" s="7" t="s">
        <v>311</v>
      </c>
      <c r="D265" s="7"/>
      <c r="E265" s="8">
        <v>2975</v>
      </c>
      <c r="F265" s="8">
        <v>3252</v>
      </c>
      <c r="G265" s="8">
        <v>3946</v>
      </c>
      <c r="H265" s="8">
        <v>4408</v>
      </c>
      <c r="I265" s="8">
        <v>4607</v>
      </c>
      <c r="J265" s="8">
        <v>4295</v>
      </c>
      <c r="K265" s="8">
        <v>4195</v>
      </c>
      <c r="L265" s="8">
        <v>4240</v>
      </c>
      <c r="M265" s="8">
        <v>4721.01672258284</v>
      </c>
      <c r="N265" s="8">
        <v>5056.4256446459613</v>
      </c>
    </row>
    <row r="266" spans="1:14" x14ac:dyDescent="0.25">
      <c r="A266" s="6" t="s">
        <v>1100</v>
      </c>
      <c r="B266" s="7" t="s">
        <v>575</v>
      </c>
      <c r="C266" s="7" t="s">
        <v>574</v>
      </c>
      <c r="D266" s="7"/>
      <c r="E266" s="8">
        <v>3780</v>
      </c>
      <c r="F266" s="8">
        <v>4035</v>
      </c>
      <c r="G266" s="8">
        <v>5165</v>
      </c>
      <c r="H266" s="8">
        <v>5181</v>
      </c>
      <c r="I266" s="8">
        <v>5845</v>
      </c>
      <c r="J266" s="8">
        <v>5422</v>
      </c>
      <c r="K266" s="8">
        <v>5143</v>
      </c>
      <c r="L266" s="8">
        <v>5812</v>
      </c>
      <c r="M266" s="8">
        <v>6065.9892846421544</v>
      </c>
      <c r="N266" s="8">
        <v>6361.4230967701869</v>
      </c>
    </row>
    <row r="267" spans="1:14" x14ac:dyDescent="0.25">
      <c r="A267" s="6" t="s">
        <v>576</v>
      </c>
      <c r="B267" s="7" t="s">
        <v>319</v>
      </c>
      <c r="C267" s="7" t="s">
        <v>320</v>
      </c>
      <c r="D267" s="7"/>
      <c r="E267" s="8">
        <v>1182</v>
      </c>
      <c r="F267" s="8">
        <v>1237</v>
      </c>
      <c r="G267" s="8">
        <v>1416</v>
      </c>
      <c r="H267" s="8">
        <v>1625</v>
      </c>
      <c r="I267" s="8">
        <v>1556</v>
      </c>
      <c r="J267" s="8">
        <v>1597</v>
      </c>
      <c r="K267" s="8">
        <v>1701</v>
      </c>
      <c r="L267" s="8">
        <v>1745</v>
      </c>
      <c r="M267" s="8">
        <v>1689.3962844456485</v>
      </c>
      <c r="N267" s="8">
        <v>1696.3549712093079</v>
      </c>
    </row>
    <row r="268" spans="1:14" x14ac:dyDescent="0.25">
      <c r="A268" s="6" t="s">
        <v>312</v>
      </c>
      <c r="B268" s="7" t="s">
        <v>313</v>
      </c>
      <c r="C268" s="7" t="s">
        <v>314</v>
      </c>
      <c r="D268" s="7"/>
      <c r="E268" s="8">
        <v>305</v>
      </c>
      <c r="F268" s="8">
        <v>226</v>
      </c>
      <c r="G268" s="8">
        <v>362</v>
      </c>
      <c r="H268" s="8">
        <v>306</v>
      </c>
      <c r="I268" s="8">
        <v>343</v>
      </c>
      <c r="J268" s="8">
        <v>492</v>
      </c>
      <c r="K268" s="8">
        <v>594</v>
      </c>
      <c r="L268" s="8">
        <v>569</v>
      </c>
      <c r="M268" s="8">
        <v>615.77328668875077</v>
      </c>
      <c r="N268" s="8">
        <v>588.53105241998185</v>
      </c>
    </row>
    <row r="269" spans="1:14" x14ac:dyDescent="0.25">
      <c r="A269" s="6" t="s">
        <v>315</v>
      </c>
      <c r="B269" s="7" t="s">
        <v>316</v>
      </c>
      <c r="C269" s="7" t="s">
        <v>317</v>
      </c>
      <c r="D269" s="7"/>
      <c r="E269" s="8">
        <v>563</v>
      </c>
      <c r="F269" s="8">
        <v>635</v>
      </c>
      <c r="G269" s="8">
        <v>798</v>
      </c>
      <c r="H269" s="8">
        <v>831</v>
      </c>
      <c r="I269" s="8">
        <v>887</v>
      </c>
      <c r="J269" s="8">
        <v>955</v>
      </c>
      <c r="K269" s="8">
        <v>1024</v>
      </c>
      <c r="L269" s="8">
        <v>1097</v>
      </c>
      <c r="M269" s="8">
        <v>1137.9714472221224</v>
      </c>
      <c r="N269" s="8">
        <v>1200.7413538490666</v>
      </c>
    </row>
    <row r="270" spans="1:14" x14ac:dyDescent="0.25">
      <c r="A270" s="6" t="s">
        <v>1099</v>
      </c>
      <c r="B270" s="7" t="s">
        <v>325</v>
      </c>
      <c r="C270" s="7" t="s">
        <v>326</v>
      </c>
      <c r="D270" s="7"/>
      <c r="E270" s="8">
        <v>7</v>
      </c>
      <c r="F270" s="8">
        <v>1277</v>
      </c>
      <c r="G270" s="8">
        <v>7</v>
      </c>
      <c r="H270" s="8">
        <v>754</v>
      </c>
      <c r="I270" s="8">
        <v>2251</v>
      </c>
      <c r="J270" s="8">
        <v>1080</v>
      </c>
      <c r="K270" s="8">
        <v>1500</v>
      </c>
      <c r="L270" s="8">
        <v>3033</v>
      </c>
      <c r="M270" s="8">
        <v>915.4545454545455</v>
      </c>
      <c r="N270" s="8">
        <v>855.5</v>
      </c>
    </row>
    <row r="271" spans="1:14" x14ac:dyDescent="0.25">
      <c r="A271" s="6" t="s">
        <v>329</v>
      </c>
      <c r="B271" s="7"/>
      <c r="C271" s="7"/>
      <c r="D271" s="7"/>
      <c r="E271" s="8"/>
      <c r="F271" s="8"/>
      <c r="G271" s="8"/>
      <c r="H271" s="8"/>
      <c r="I271" s="8"/>
      <c r="J271" s="8"/>
      <c r="K271" s="8"/>
      <c r="L271" s="8"/>
      <c r="M271" s="8"/>
      <c r="N271" s="8"/>
    </row>
    <row r="272" spans="1:14" x14ac:dyDescent="0.25">
      <c r="A272" s="6" t="s">
        <v>330</v>
      </c>
      <c r="B272" s="7" t="s">
        <v>331</v>
      </c>
      <c r="C272" s="7" t="s">
        <v>332</v>
      </c>
      <c r="D272" s="7"/>
      <c r="E272" s="8">
        <v>19359</v>
      </c>
      <c r="F272" s="8">
        <v>16661</v>
      </c>
      <c r="G272" s="8">
        <v>18527</v>
      </c>
      <c r="H272" s="8">
        <v>17296</v>
      </c>
      <c r="I272" s="8">
        <v>14522</v>
      </c>
      <c r="J272" s="8">
        <v>13599</v>
      </c>
      <c r="K272" s="8">
        <v>12625</v>
      </c>
      <c r="L272" s="8">
        <v>9896</v>
      </c>
      <c r="M272" s="8">
        <v>13330.454545454546</v>
      </c>
      <c r="N272" s="8">
        <v>11676.686666666666</v>
      </c>
    </row>
    <row r="273" spans="1:14" x14ac:dyDescent="0.25">
      <c r="A273" s="6" t="s">
        <v>1098</v>
      </c>
      <c r="B273" s="7" t="s">
        <v>339</v>
      </c>
      <c r="C273" s="7" t="s">
        <v>340</v>
      </c>
      <c r="D273" s="7"/>
      <c r="E273" s="8">
        <v>8080</v>
      </c>
      <c r="F273" s="8">
        <v>9062</v>
      </c>
      <c r="G273" s="8">
        <v>9111</v>
      </c>
      <c r="H273" s="8">
        <v>8771</v>
      </c>
      <c r="I273" s="8">
        <v>7522</v>
      </c>
      <c r="J273" s="8">
        <v>6947</v>
      </c>
      <c r="K273" s="8">
        <v>6731</v>
      </c>
      <c r="L273" s="8">
        <v>7550</v>
      </c>
      <c r="M273" s="8">
        <v>7098.125895792492</v>
      </c>
      <c r="N273" s="8">
        <v>7309.6795646286218</v>
      </c>
    </row>
    <row r="274" spans="1:14" x14ac:dyDescent="0.25">
      <c r="A274" s="6" t="s">
        <v>341</v>
      </c>
      <c r="B274" s="7" t="s">
        <v>342</v>
      </c>
      <c r="C274" s="7" t="s">
        <v>343</v>
      </c>
      <c r="D274" s="7"/>
      <c r="E274" s="8">
        <v>36451</v>
      </c>
      <c r="F274" s="8">
        <v>36586</v>
      </c>
      <c r="G274" s="8">
        <v>39545</v>
      </c>
      <c r="H274" s="8">
        <v>39172</v>
      </c>
      <c r="I274" s="8">
        <v>37533</v>
      </c>
      <c r="J274" s="8">
        <v>34387</v>
      </c>
      <c r="K274" s="8">
        <v>33513</v>
      </c>
      <c r="L274" s="8">
        <v>33942</v>
      </c>
      <c r="M274" s="8">
        <v>35684.106148621795</v>
      </c>
      <c r="N274" s="8">
        <v>34879.920034106821</v>
      </c>
    </row>
    <row r="275" spans="1:14" x14ac:dyDescent="0.25">
      <c r="A275" s="6" t="s">
        <v>562</v>
      </c>
      <c r="B275" s="7" t="s">
        <v>345</v>
      </c>
      <c r="C275" s="7" t="s">
        <v>346</v>
      </c>
      <c r="D275" s="7"/>
      <c r="E275" s="8">
        <v>30524</v>
      </c>
      <c r="F275" s="8">
        <v>31301</v>
      </c>
      <c r="G275" s="8">
        <v>33003</v>
      </c>
      <c r="H275" s="8">
        <v>36024</v>
      </c>
      <c r="I275" s="8">
        <v>36905</v>
      </c>
      <c r="J275" s="8">
        <v>38827</v>
      </c>
      <c r="K275" s="8">
        <v>47901</v>
      </c>
      <c r="L275" s="8">
        <v>52771</v>
      </c>
      <c r="M275" s="8">
        <v>52173.4</v>
      </c>
      <c r="N275" s="8">
        <v>55802.272727272728</v>
      </c>
    </row>
    <row r="276" spans="1:14" x14ac:dyDescent="0.25">
      <c r="A276" s="6" t="s">
        <v>1097</v>
      </c>
      <c r="B276" s="7" t="s">
        <v>1096</v>
      </c>
      <c r="C276" s="7" t="s">
        <v>1095</v>
      </c>
      <c r="D276" s="7"/>
      <c r="E276" s="8">
        <v>30524</v>
      </c>
      <c r="F276" s="8">
        <v>31088</v>
      </c>
      <c r="G276" s="8">
        <v>32784</v>
      </c>
      <c r="H276" s="8">
        <v>35802</v>
      </c>
      <c r="I276" s="8">
        <v>36686</v>
      </c>
      <c r="J276" s="8">
        <v>38603</v>
      </c>
      <c r="K276" s="8">
        <v>47664</v>
      </c>
      <c r="L276" s="8">
        <v>52130</v>
      </c>
      <c r="M276" s="8">
        <v>54940.989677240301</v>
      </c>
      <c r="N276" s="8">
        <v>58783.806883859637</v>
      </c>
    </row>
    <row r="277" spans="1:14" x14ac:dyDescent="0.25">
      <c r="A277" s="6" t="s">
        <v>1094</v>
      </c>
      <c r="B277" s="7" t="s">
        <v>1093</v>
      </c>
      <c r="C277" s="7" t="s">
        <v>1092</v>
      </c>
      <c r="D277" s="7"/>
      <c r="E277" s="8">
        <v>198</v>
      </c>
      <c r="F277" s="8">
        <v>213</v>
      </c>
      <c r="G277" s="8">
        <v>219</v>
      </c>
      <c r="H277" s="8">
        <v>222</v>
      </c>
      <c r="I277" s="8">
        <v>219</v>
      </c>
      <c r="J277" s="8">
        <v>224</v>
      </c>
      <c r="K277" s="8">
        <v>237</v>
      </c>
      <c r="L277" s="8">
        <v>641</v>
      </c>
      <c r="M277" s="8">
        <v>252.92881564197225</v>
      </c>
      <c r="N277" s="8">
        <v>254.09826538839508</v>
      </c>
    </row>
    <row r="278" spans="1:14" x14ac:dyDescent="0.25">
      <c r="A278" s="6" t="s">
        <v>353</v>
      </c>
      <c r="B278" s="7" t="s">
        <v>354</v>
      </c>
      <c r="C278" s="7" t="s">
        <v>355</v>
      </c>
      <c r="D278" s="7"/>
      <c r="E278" s="8">
        <v>24560</v>
      </c>
      <c r="F278" s="8">
        <v>25847</v>
      </c>
      <c r="G278" s="8">
        <v>27627</v>
      </c>
      <c r="H278" s="8">
        <v>31528</v>
      </c>
      <c r="I278" s="8">
        <v>35257</v>
      </c>
      <c r="J278" s="8">
        <v>37554</v>
      </c>
      <c r="K278" s="8">
        <v>47261</v>
      </c>
      <c r="L278" s="8">
        <v>49781</v>
      </c>
      <c r="M278" s="8">
        <v>55368.271076031706</v>
      </c>
      <c r="N278" s="8">
        <v>60657.818216812571</v>
      </c>
    </row>
    <row r="279" spans="1:14" x14ac:dyDescent="0.25">
      <c r="A279" s="6" t="s">
        <v>347</v>
      </c>
      <c r="B279" s="7" t="s">
        <v>348</v>
      </c>
      <c r="C279" s="7" t="s">
        <v>349</v>
      </c>
      <c r="D279" s="7"/>
      <c r="E279" s="8">
        <v>23512</v>
      </c>
      <c r="F279" s="8">
        <v>23853</v>
      </c>
      <c r="G279" s="8">
        <v>24145</v>
      </c>
      <c r="H279" s="8">
        <v>24470</v>
      </c>
      <c r="I279" s="8">
        <v>24709</v>
      </c>
      <c r="J279" s="8">
        <v>24869</v>
      </c>
      <c r="K279" s="8">
        <v>25153</v>
      </c>
      <c r="L279" s="8">
        <v>25527</v>
      </c>
      <c r="M279" s="8">
        <v>25650.791300121706</v>
      </c>
      <c r="N279" s="8">
        <v>26092.552649517827</v>
      </c>
    </row>
    <row r="280" spans="1:14" x14ac:dyDescent="0.25">
      <c r="A280" s="6" t="s">
        <v>557</v>
      </c>
      <c r="B280" s="7" t="s">
        <v>556</v>
      </c>
      <c r="C280" s="7" t="s">
        <v>555</v>
      </c>
      <c r="D280" s="7"/>
      <c r="E280" s="8">
        <v>9962</v>
      </c>
      <c r="F280" s="8">
        <v>10147</v>
      </c>
      <c r="G280" s="8">
        <v>10042</v>
      </c>
      <c r="H280" s="8">
        <v>11822</v>
      </c>
      <c r="I280" s="8">
        <v>15229</v>
      </c>
      <c r="J280" s="8">
        <v>15981</v>
      </c>
      <c r="K280" s="8">
        <v>16844</v>
      </c>
      <c r="L280" s="8">
        <v>17177</v>
      </c>
      <c r="M280" s="8">
        <v>17697.641045478558</v>
      </c>
      <c r="N280" s="8">
        <v>19127.350822803237</v>
      </c>
    </row>
    <row r="281" spans="1:14" x14ac:dyDescent="0.25">
      <c r="A281" s="6" t="s">
        <v>356</v>
      </c>
      <c r="B281" s="7" t="s">
        <v>357</v>
      </c>
      <c r="C281" s="7" t="s">
        <v>358</v>
      </c>
      <c r="D281" s="7"/>
      <c r="E281" s="8">
        <v>-7586</v>
      </c>
      <c r="F281" s="8">
        <v>-8465</v>
      </c>
      <c r="G281" s="8">
        <v>-8946</v>
      </c>
      <c r="H281" s="8">
        <v>-8374</v>
      </c>
      <c r="I281" s="8">
        <v>-8051</v>
      </c>
      <c r="J281" s="8">
        <v>-7839</v>
      </c>
      <c r="K281" s="8">
        <v>-7906</v>
      </c>
      <c r="L281" s="8">
        <v>-6001</v>
      </c>
      <c r="M281" s="8" t="s">
        <v>1483</v>
      </c>
      <c r="N281" s="8">
        <v>-6633.166835969997</v>
      </c>
    </row>
    <row r="282" spans="1:14" x14ac:dyDescent="0.25">
      <c r="A282" s="6" t="s">
        <v>359</v>
      </c>
      <c r="B282" s="7" t="s">
        <v>303</v>
      </c>
      <c r="C282" s="7" t="s">
        <v>304</v>
      </c>
      <c r="D282" s="7"/>
      <c r="E282" s="8">
        <v>67173</v>
      </c>
      <c r="F282" s="8">
        <v>67887</v>
      </c>
      <c r="G282" s="8">
        <v>72548</v>
      </c>
      <c r="H282" s="8">
        <v>75196</v>
      </c>
      <c r="I282" s="8">
        <v>74438</v>
      </c>
      <c r="J282" s="8">
        <v>73214</v>
      </c>
      <c r="K282" s="8">
        <v>81414</v>
      </c>
      <c r="L282" s="8">
        <v>86713</v>
      </c>
      <c r="M282" s="8">
        <v>87645.643720962005</v>
      </c>
      <c r="N282" s="8">
        <v>90727.476591127153</v>
      </c>
    </row>
    <row r="283" spans="1:14" x14ac:dyDescent="0.25">
      <c r="A283" s="6" t="s">
        <v>17</v>
      </c>
      <c r="B283" s="7"/>
      <c r="C283" s="7"/>
      <c r="D283" s="7"/>
      <c r="E283" s="8"/>
      <c r="F283" s="8"/>
      <c r="G283" s="8"/>
      <c r="H283" s="8"/>
      <c r="I283" s="8"/>
      <c r="J283" s="8"/>
      <c r="K283" s="8"/>
      <c r="L283" s="8"/>
      <c r="M283" s="8"/>
      <c r="N283" s="8"/>
    </row>
    <row r="284" spans="1:14" x14ac:dyDescent="0.25">
      <c r="A284" s="6" t="s">
        <v>360</v>
      </c>
      <c r="B284" s="7"/>
      <c r="C284" s="7"/>
      <c r="D284" s="7"/>
      <c r="E284" s="8"/>
      <c r="F284" s="8"/>
      <c r="G284" s="8"/>
      <c r="H284" s="8"/>
      <c r="I284" s="8"/>
      <c r="J284" s="8"/>
      <c r="K284" s="8"/>
      <c r="L284" s="8"/>
      <c r="M284" s="8"/>
      <c r="N284" s="8"/>
    </row>
    <row r="285" spans="1:14" x14ac:dyDescent="0.25">
      <c r="A285" s="6" t="s">
        <v>70</v>
      </c>
      <c r="B285" s="7" t="s">
        <v>549</v>
      </c>
      <c r="C285" s="7" t="s">
        <v>548</v>
      </c>
      <c r="D285" s="7"/>
      <c r="E285" s="8">
        <v>61.855909477402051</v>
      </c>
      <c r="F285" s="8">
        <v>62.065101554663997</v>
      </c>
      <c r="G285" s="8">
        <v>67.831830790568659</v>
      </c>
      <c r="H285" s="8">
        <v>54.968195008705749</v>
      </c>
      <c r="I285" s="8">
        <v>51.991157537855358</v>
      </c>
      <c r="J285" s="8">
        <v>59.742825799695829</v>
      </c>
      <c r="K285" s="8">
        <v>60.418355184743746</v>
      </c>
      <c r="L285" s="8">
        <v>65.287966973470489</v>
      </c>
      <c r="M285" s="8">
        <v>60.423034341932663</v>
      </c>
      <c r="N285" s="8">
        <v>59.52811446116479</v>
      </c>
    </row>
    <row r="286" spans="1:14" x14ac:dyDescent="0.25">
      <c r="A286" s="6" t="s">
        <v>376</v>
      </c>
      <c r="B286" s="7"/>
      <c r="C286" s="7"/>
      <c r="D286" s="7"/>
      <c r="E286" s="8"/>
      <c r="F286" s="8"/>
      <c r="G286" s="8"/>
      <c r="H286" s="8"/>
      <c r="I286" s="8"/>
      <c r="J286" s="8"/>
      <c r="K286" s="8"/>
      <c r="L286" s="8"/>
      <c r="M286" s="8"/>
      <c r="N286" s="8"/>
    </row>
    <row r="287" spans="1:14" x14ac:dyDescent="0.25">
      <c r="A287" s="6" t="s">
        <v>551</v>
      </c>
      <c r="B287" s="7" t="s">
        <v>378</v>
      </c>
      <c r="C287" s="7" t="s">
        <v>379</v>
      </c>
      <c r="D287" s="7"/>
      <c r="E287" s="8">
        <v>3.3021203014858149</v>
      </c>
      <c r="F287" s="8">
        <v>5.4597956463793871</v>
      </c>
      <c r="G287" s="8">
        <v>6.40153807811443</v>
      </c>
      <c r="H287" s="8">
        <v>9.571962313190383</v>
      </c>
      <c r="I287" s="8">
        <v>9.2666105296924499</v>
      </c>
      <c r="J287" s="8">
        <v>7.7520114864681817</v>
      </c>
      <c r="K287" s="8">
        <v>17.334506040303179</v>
      </c>
      <c r="L287" s="8">
        <v>7.7607998715256921</v>
      </c>
      <c r="M287" s="8">
        <v>8.5</v>
      </c>
      <c r="N287" s="8">
        <v>9.3000000000000007</v>
      </c>
    </row>
    <row r="288" spans="1:14" x14ac:dyDescent="0.25">
      <c r="A288" s="6" t="s">
        <v>1091</v>
      </c>
      <c r="B288" s="7" t="s">
        <v>381</v>
      </c>
      <c r="C288" s="7" t="s">
        <v>382</v>
      </c>
      <c r="D288" s="7"/>
      <c r="E288" s="8">
        <v>7.7107178326630956</v>
      </c>
      <c r="F288" s="8">
        <v>11.968447704992533</v>
      </c>
      <c r="G288" s="8">
        <v>14.075025050100201</v>
      </c>
      <c r="H288" s="8">
        <v>20.619368384218355</v>
      </c>
      <c r="I288" s="8">
        <v>19.128683368281646</v>
      </c>
      <c r="J288" s="8">
        <v>15.202752062054218</v>
      </c>
      <c r="K288" s="8">
        <v>31.07097731461625</v>
      </c>
      <c r="L288" s="8">
        <v>13.074934364791471</v>
      </c>
      <c r="M288" s="8">
        <v>19.695871404266889</v>
      </c>
      <c r="N288" s="8">
        <v>18.296483991354123</v>
      </c>
    </row>
    <row r="289" spans="1:14" x14ac:dyDescent="0.25">
      <c r="A289" s="6" t="s">
        <v>1090</v>
      </c>
      <c r="B289" s="7" t="s">
        <v>365</v>
      </c>
      <c r="C289" s="7" t="s">
        <v>366</v>
      </c>
      <c r="D289" s="7"/>
      <c r="E289" s="8">
        <v>38.907890550429528</v>
      </c>
      <c r="F289" s="8">
        <v>37.894841269841265</v>
      </c>
      <c r="G289" s="8">
        <v>37.604219840054448</v>
      </c>
      <c r="H289" s="8">
        <v>34.827679782903665</v>
      </c>
      <c r="I289" s="8">
        <v>32.717726203715522</v>
      </c>
      <c r="J289" s="8">
        <v>29.018281535648992</v>
      </c>
      <c r="K289" s="8">
        <v>24.178485500823097</v>
      </c>
      <c r="L289" s="8">
        <v>21.12783415786091</v>
      </c>
      <c r="M289" s="8">
        <v>24.059865832116088</v>
      </c>
      <c r="N289" s="8">
        <v>16.106055707662755</v>
      </c>
    </row>
    <row r="290" spans="1:14" x14ac:dyDescent="0.25">
      <c r="A290" s="6" t="s">
        <v>477</v>
      </c>
      <c r="B290" s="7" t="s">
        <v>478</v>
      </c>
      <c r="C290" s="7" t="s">
        <v>479</v>
      </c>
      <c r="D290" s="7"/>
      <c r="E290" s="8">
        <v>17.386456094924654</v>
      </c>
      <c r="F290" s="8">
        <v>17.638549065322657</v>
      </c>
      <c r="G290" s="8">
        <v>18.509168729350659</v>
      </c>
      <c r="H290" s="8">
        <v>20.294972729765547</v>
      </c>
      <c r="I290" s="8">
        <v>21.110660093207851</v>
      </c>
      <c r="J290" s="8">
        <v>22.261418778884014</v>
      </c>
      <c r="K290" s="8">
        <v>27.52442992237669</v>
      </c>
      <c r="L290" s="8">
        <v>30.018436300887672</v>
      </c>
      <c r="M290" s="8">
        <v>26.917499999999997</v>
      </c>
      <c r="N290" s="8">
        <v>28.222499999999997</v>
      </c>
    </row>
    <row r="291" spans="1:14" x14ac:dyDescent="0.25">
      <c r="A291" s="6" t="s">
        <v>17</v>
      </c>
      <c r="B291" s="7"/>
      <c r="C291" s="7"/>
      <c r="D291" s="7"/>
      <c r="E291" s="8"/>
      <c r="F291" s="8"/>
      <c r="G291" s="8"/>
      <c r="H291" s="8"/>
      <c r="I291" s="8"/>
      <c r="J291" s="8"/>
      <c r="K291" s="8"/>
      <c r="L291" s="8"/>
      <c r="M291" s="8"/>
      <c r="N291" s="8"/>
    </row>
    <row r="292" spans="1:14" x14ac:dyDescent="0.25">
      <c r="A292" s="6" t="s">
        <v>388</v>
      </c>
      <c r="B292" s="7"/>
      <c r="C292" s="7"/>
      <c r="D292" s="7"/>
      <c r="E292" s="8"/>
      <c r="F292" s="8"/>
      <c r="G292" s="8"/>
      <c r="H292" s="8"/>
      <c r="I292" s="8"/>
      <c r="J292" s="8"/>
      <c r="K292" s="8"/>
      <c r="L292" s="8"/>
      <c r="M292" s="8"/>
      <c r="N292" s="8"/>
    </row>
    <row r="293" spans="1:14" x14ac:dyDescent="0.25">
      <c r="A293" s="6" t="s">
        <v>389</v>
      </c>
      <c r="B293" s="7"/>
      <c r="C293" s="7"/>
      <c r="D293" s="7"/>
      <c r="E293" s="8"/>
      <c r="F293" s="8"/>
      <c r="G293" s="8"/>
      <c r="H293" s="8"/>
      <c r="I293" s="8"/>
      <c r="J293" s="8"/>
      <c r="K293" s="8"/>
      <c r="L293" s="8"/>
      <c r="M293" s="8"/>
      <c r="N293" s="8"/>
    </row>
    <row r="294" spans="1:14" x14ac:dyDescent="0.25">
      <c r="A294" s="6" t="s">
        <v>240</v>
      </c>
      <c r="B294" s="7" t="s">
        <v>241</v>
      </c>
      <c r="C294" s="7" t="s">
        <v>242</v>
      </c>
      <c r="D294" s="7"/>
      <c r="E294" s="8">
        <v>2334</v>
      </c>
      <c r="F294" s="8">
        <v>3687</v>
      </c>
      <c r="G294" s="8">
        <v>4471</v>
      </c>
      <c r="H294" s="8">
        <v>7071</v>
      </c>
      <c r="I294" s="8">
        <v>6933</v>
      </c>
      <c r="J294" s="8">
        <v>5723</v>
      </c>
      <c r="K294" s="8">
        <v>13402</v>
      </c>
      <c r="L294" s="8">
        <v>6524</v>
      </c>
      <c r="M294" s="8">
        <v>7965.85</v>
      </c>
      <c r="N294" s="8">
        <v>8805.9473684210534</v>
      </c>
    </row>
    <row r="295" spans="1:14" x14ac:dyDescent="0.25">
      <c r="A295" s="6" t="s">
        <v>392</v>
      </c>
      <c r="B295" s="7" t="s">
        <v>168</v>
      </c>
      <c r="C295" s="7" t="s">
        <v>169</v>
      </c>
      <c r="D295" s="7"/>
      <c r="E295" s="8">
        <v>3310</v>
      </c>
      <c r="F295" s="8">
        <v>3014</v>
      </c>
      <c r="G295" s="8">
        <v>3327</v>
      </c>
      <c r="H295" s="8">
        <v>3538</v>
      </c>
      <c r="I295" s="8">
        <v>3267</v>
      </c>
      <c r="J295" s="8">
        <v>3243</v>
      </c>
      <c r="K295" s="8">
        <v>3218</v>
      </c>
      <c r="L295" s="8">
        <v>3116</v>
      </c>
      <c r="M295" s="8">
        <v>3453.0344073677848</v>
      </c>
      <c r="N295" s="8">
        <v>3586.7580373267397</v>
      </c>
    </row>
    <row r="296" spans="1:14" x14ac:dyDescent="0.25">
      <c r="A296" s="6" t="s">
        <v>1089</v>
      </c>
      <c r="B296" s="7" t="s">
        <v>171</v>
      </c>
      <c r="C296" s="7" t="s">
        <v>172</v>
      </c>
      <c r="D296" s="7"/>
      <c r="E296" s="8">
        <v>1100</v>
      </c>
      <c r="F296" s="8">
        <v>1078</v>
      </c>
      <c r="G296" s="8">
        <v>1195</v>
      </c>
      <c r="H296" s="8">
        <v>1491</v>
      </c>
      <c r="I296" s="8">
        <v>1254</v>
      </c>
      <c r="J296" s="8">
        <v>1277</v>
      </c>
      <c r="K296" s="8">
        <v>1340</v>
      </c>
      <c r="L296" s="8">
        <v>1434</v>
      </c>
      <c r="M296" s="8">
        <v>1576.7986125287</v>
      </c>
      <c r="N296" s="8">
        <v>1678.7661201763301</v>
      </c>
    </row>
    <row r="297" spans="1:14" x14ac:dyDescent="0.25">
      <c r="A297" s="6" t="s">
        <v>1088</v>
      </c>
      <c r="B297" s="7" t="s">
        <v>174</v>
      </c>
      <c r="C297" s="7" t="s">
        <v>175</v>
      </c>
      <c r="D297" s="7"/>
      <c r="E297" s="8">
        <v>2178</v>
      </c>
      <c r="F297" s="8">
        <v>1936</v>
      </c>
      <c r="G297" s="8">
        <v>2132</v>
      </c>
      <c r="H297" s="8">
        <v>2047</v>
      </c>
      <c r="I297" s="8">
        <v>2013</v>
      </c>
      <c r="J297" s="8">
        <v>1966</v>
      </c>
      <c r="K297" s="8">
        <v>1878</v>
      </c>
      <c r="L297" s="8">
        <v>1682</v>
      </c>
      <c r="M297" s="8">
        <v>1813.7758227017293</v>
      </c>
      <c r="N297" s="8">
        <v>1752.5328123737106</v>
      </c>
    </row>
    <row r="298" spans="1:14" x14ac:dyDescent="0.25">
      <c r="A298" s="6" t="s">
        <v>395</v>
      </c>
      <c r="B298" s="7" t="s">
        <v>1087</v>
      </c>
      <c r="C298" s="7" t="s">
        <v>1086</v>
      </c>
      <c r="D298" s="7"/>
      <c r="E298" s="8">
        <v>477</v>
      </c>
      <c r="F298" s="8">
        <v>519</v>
      </c>
      <c r="G298" s="8">
        <v>546</v>
      </c>
      <c r="H298" s="8">
        <v>640</v>
      </c>
      <c r="I298" s="8">
        <v>685</v>
      </c>
      <c r="J298" s="8">
        <v>644</v>
      </c>
      <c r="K298" s="8">
        <v>673</v>
      </c>
      <c r="L298" s="8">
        <v>664</v>
      </c>
      <c r="M298" s="8">
        <v>625.03583764879056</v>
      </c>
      <c r="N298" s="8">
        <v>679.61913450772067</v>
      </c>
    </row>
    <row r="299" spans="1:14" x14ac:dyDescent="0.25">
      <c r="A299" s="6" t="s">
        <v>1085</v>
      </c>
      <c r="B299" s="7" t="s">
        <v>1084</v>
      </c>
      <c r="C299" s="7" t="s">
        <v>1083</v>
      </c>
      <c r="D299" s="7"/>
      <c r="E299" s="8">
        <v>126</v>
      </c>
      <c r="F299" s="8">
        <v>184</v>
      </c>
      <c r="G299" s="8">
        <v>425</v>
      </c>
      <c r="H299" s="8">
        <v>55</v>
      </c>
      <c r="I299" s="8">
        <v>215</v>
      </c>
      <c r="J299" s="8">
        <v>126</v>
      </c>
      <c r="K299" s="8">
        <v>482</v>
      </c>
      <c r="L299" s="8">
        <v>65</v>
      </c>
      <c r="M299" s="8">
        <v>263.44030024935523</v>
      </c>
      <c r="N299" s="8">
        <v>280.6283800497053</v>
      </c>
    </row>
    <row r="300" spans="1:14" x14ac:dyDescent="0.25">
      <c r="A300" s="6" t="s">
        <v>401</v>
      </c>
      <c r="B300" s="7" t="s">
        <v>1082</v>
      </c>
      <c r="C300" s="7" t="s">
        <v>1081</v>
      </c>
      <c r="D300" s="7"/>
      <c r="E300" s="8">
        <v>-148</v>
      </c>
      <c r="F300" s="8">
        <v>-1331</v>
      </c>
      <c r="G300" s="8">
        <v>-892</v>
      </c>
      <c r="H300" s="8">
        <v>-771</v>
      </c>
      <c r="I300" s="8">
        <v>-1519</v>
      </c>
      <c r="J300" s="8">
        <v>-2475</v>
      </c>
      <c r="K300" s="8">
        <v>-9217</v>
      </c>
      <c r="L300" s="8">
        <v>-803</v>
      </c>
      <c r="M300" s="8">
        <v>-3082.8300598372725</v>
      </c>
      <c r="N300" s="8">
        <v>-3169.634541640411</v>
      </c>
    </row>
    <row r="301" spans="1:14" x14ac:dyDescent="0.25">
      <c r="A301" s="6" t="s">
        <v>270</v>
      </c>
      <c r="B301" s="7" t="s">
        <v>406</v>
      </c>
      <c r="C301" s="7" t="s">
        <v>407</v>
      </c>
      <c r="D301" s="7"/>
      <c r="E301" s="8">
        <v>-514</v>
      </c>
      <c r="F301" s="8">
        <v>-593</v>
      </c>
      <c r="G301" s="8">
        <v>-493</v>
      </c>
      <c r="H301" s="8">
        <v>-456</v>
      </c>
      <c r="I301" s="8">
        <v>-1413</v>
      </c>
      <c r="J301" s="8">
        <v>-232</v>
      </c>
      <c r="K301" s="8">
        <v>-58</v>
      </c>
      <c r="L301" s="8">
        <v>195</v>
      </c>
      <c r="M301" s="8">
        <v>-542.14037147043382</v>
      </c>
      <c r="N301" s="8">
        <v>-333.20977613729764</v>
      </c>
    </row>
    <row r="302" spans="1:14" x14ac:dyDescent="0.25">
      <c r="A302" s="6" t="s">
        <v>1080</v>
      </c>
      <c r="B302" s="7" t="s">
        <v>1079</v>
      </c>
      <c r="C302" s="7" t="s">
        <v>1078</v>
      </c>
      <c r="D302" s="7"/>
      <c r="E302" s="8">
        <v>23</v>
      </c>
      <c r="F302" s="8">
        <v>-138</v>
      </c>
      <c r="G302" s="8">
        <v>-627</v>
      </c>
      <c r="H302" s="8">
        <v>-312</v>
      </c>
      <c r="I302" s="8">
        <v>-75</v>
      </c>
      <c r="J302" s="8">
        <v>-542</v>
      </c>
      <c r="K302" s="8">
        <v>-796</v>
      </c>
      <c r="L302" s="8">
        <v>-1295</v>
      </c>
      <c r="M302" s="8">
        <v>-628.28323465274343</v>
      </c>
      <c r="N302" s="8">
        <v>-43.934245761222208</v>
      </c>
    </row>
    <row r="303" spans="1:14" x14ac:dyDescent="0.25">
      <c r="A303" s="6" t="s">
        <v>267</v>
      </c>
      <c r="B303" s="7" t="s">
        <v>403</v>
      </c>
      <c r="C303" s="7" t="s">
        <v>404</v>
      </c>
      <c r="D303" s="7"/>
      <c r="E303" s="8">
        <v>-190</v>
      </c>
      <c r="F303" s="8">
        <v>-275</v>
      </c>
      <c r="G303" s="8">
        <v>-924</v>
      </c>
      <c r="H303" s="8">
        <v>-383</v>
      </c>
      <c r="I303" s="8">
        <v>-68</v>
      </c>
      <c r="J303" s="8">
        <v>-356</v>
      </c>
      <c r="K303" s="8">
        <v>-691</v>
      </c>
      <c r="L303" s="8">
        <v>-652</v>
      </c>
      <c r="M303" s="8">
        <v>-583.26900740505152</v>
      </c>
      <c r="N303" s="8">
        <v>-585.47007077283115</v>
      </c>
    </row>
    <row r="304" spans="1:14" x14ac:dyDescent="0.25">
      <c r="A304" s="6" t="s">
        <v>1077</v>
      </c>
      <c r="B304" s="7" t="s">
        <v>1076</v>
      </c>
      <c r="C304" s="7" t="s">
        <v>1075</v>
      </c>
      <c r="D304" s="7"/>
      <c r="E304" s="8">
        <v>747</v>
      </c>
      <c r="F304" s="8">
        <v>220</v>
      </c>
      <c r="G304" s="8">
        <v>1766</v>
      </c>
      <c r="H304" s="8">
        <v>1288</v>
      </c>
      <c r="I304" s="8">
        <v>420</v>
      </c>
      <c r="J304" s="8">
        <v>-760</v>
      </c>
      <c r="K304" s="8">
        <v>356</v>
      </c>
      <c r="L304" s="8">
        <v>954</v>
      </c>
      <c r="M304" s="8">
        <v>412.35807092366326</v>
      </c>
      <c r="N304" s="8">
        <v>351.75631795596195</v>
      </c>
    </row>
    <row r="305" spans="1:14" x14ac:dyDescent="0.25">
      <c r="A305" s="6" t="s">
        <v>1074</v>
      </c>
      <c r="B305" s="7" t="s">
        <v>412</v>
      </c>
      <c r="C305" s="7" t="s">
        <v>413</v>
      </c>
      <c r="D305" s="7"/>
      <c r="E305" s="8">
        <v>-214</v>
      </c>
      <c r="F305" s="8">
        <v>-545</v>
      </c>
      <c r="G305" s="8">
        <v>-614</v>
      </c>
      <c r="H305" s="8">
        <v>-908</v>
      </c>
      <c r="I305" s="8">
        <v>-383</v>
      </c>
      <c r="J305" s="8">
        <v>-585</v>
      </c>
      <c r="K305" s="8">
        <v>-8028</v>
      </c>
      <c r="L305" s="8">
        <v>-5</v>
      </c>
      <c r="M305" s="8">
        <v>-185.63914897278013</v>
      </c>
      <c r="N305" s="8">
        <v>-1050.3112957837859</v>
      </c>
    </row>
    <row r="306" spans="1:14" x14ac:dyDescent="0.25">
      <c r="A306" s="6" t="s">
        <v>421</v>
      </c>
      <c r="B306" s="7" t="s">
        <v>422</v>
      </c>
      <c r="C306" s="7" t="s">
        <v>423</v>
      </c>
      <c r="D306" s="7"/>
      <c r="E306" s="8">
        <v>6300</v>
      </c>
      <c r="F306" s="8">
        <v>6136</v>
      </c>
      <c r="G306" s="8">
        <v>7901</v>
      </c>
      <c r="H306" s="8">
        <v>10533</v>
      </c>
      <c r="I306" s="8">
        <v>9581</v>
      </c>
      <c r="J306" s="8">
        <v>7261</v>
      </c>
      <c r="K306" s="8">
        <v>8558</v>
      </c>
      <c r="L306" s="8">
        <v>9566</v>
      </c>
      <c r="M306" s="8">
        <v>11000.253951454075</v>
      </c>
      <c r="N306" s="8">
        <v>12192.430997898407</v>
      </c>
    </row>
    <row r="307" spans="1:14" x14ac:dyDescent="0.25">
      <c r="A307" s="6" t="s">
        <v>17</v>
      </c>
      <c r="B307" s="7"/>
      <c r="C307" s="7"/>
      <c r="D307" s="7"/>
      <c r="E307" s="8"/>
      <c r="F307" s="8"/>
      <c r="G307" s="8"/>
      <c r="H307" s="8"/>
      <c r="I307" s="8"/>
      <c r="J307" s="8"/>
      <c r="K307" s="8"/>
      <c r="L307" s="8"/>
      <c r="M307" s="8"/>
      <c r="N307" s="8"/>
    </row>
    <row r="308" spans="1:14" x14ac:dyDescent="0.25">
      <c r="A308" s="6" t="s">
        <v>424</v>
      </c>
      <c r="B308" s="7"/>
      <c r="C308" s="7"/>
      <c r="D308" s="7"/>
      <c r="E308" s="8"/>
      <c r="F308" s="8"/>
      <c r="G308" s="8"/>
      <c r="H308" s="8"/>
      <c r="I308" s="8"/>
      <c r="J308" s="8"/>
      <c r="K308" s="8"/>
      <c r="L308" s="8"/>
      <c r="M308" s="8"/>
      <c r="N308" s="8"/>
    </row>
    <row r="309" spans="1:14" x14ac:dyDescent="0.25">
      <c r="A309" s="6" t="s">
        <v>425</v>
      </c>
      <c r="B309" s="7" t="s">
        <v>426</v>
      </c>
      <c r="C309" s="7" t="s">
        <v>427</v>
      </c>
      <c r="D309" s="7"/>
      <c r="E309" s="8">
        <v>-1394</v>
      </c>
      <c r="F309" s="8">
        <v>-1638</v>
      </c>
      <c r="G309" s="8">
        <v>-2177</v>
      </c>
      <c r="H309" s="8">
        <v>-1885</v>
      </c>
      <c r="I309" s="8">
        <v>-1777</v>
      </c>
      <c r="J309" s="8">
        <v>-2202</v>
      </c>
      <c r="K309" s="8">
        <v>-2207</v>
      </c>
      <c r="L309" s="8">
        <v>-2171</v>
      </c>
      <c r="M309" s="8">
        <v>-2283</v>
      </c>
      <c r="N309" s="8">
        <v>-2388.4705882352941</v>
      </c>
    </row>
    <row r="310" spans="1:14" x14ac:dyDescent="0.25">
      <c r="A310" s="6" t="s">
        <v>1073</v>
      </c>
      <c r="B310" s="7" t="s">
        <v>1072</v>
      </c>
      <c r="C310" s="7" t="s">
        <v>1071</v>
      </c>
      <c r="D310" s="7"/>
      <c r="E310" s="8">
        <v>48</v>
      </c>
      <c r="F310" s="8">
        <v>48</v>
      </c>
      <c r="G310" s="8">
        <v>58</v>
      </c>
      <c r="H310" s="8">
        <v>134</v>
      </c>
      <c r="I310" s="8">
        <v>48</v>
      </c>
      <c r="J310" s="8">
        <v>40</v>
      </c>
      <c r="K310" s="8">
        <v>1</v>
      </c>
      <c r="L310" s="8">
        <v>0</v>
      </c>
      <c r="M310" s="8" t="s">
        <v>1483</v>
      </c>
      <c r="N310" s="8" t="s">
        <v>1483</v>
      </c>
    </row>
    <row r="311" spans="1:14" x14ac:dyDescent="0.25">
      <c r="A311" s="6" t="s">
        <v>1070</v>
      </c>
      <c r="B311" s="7" t="s">
        <v>523</v>
      </c>
      <c r="C311" s="7" t="s">
        <v>522</v>
      </c>
      <c r="D311" s="7"/>
      <c r="E311" s="8">
        <v>73</v>
      </c>
      <c r="F311" s="8">
        <v>21</v>
      </c>
      <c r="G311" s="8">
        <v>10</v>
      </c>
      <c r="H311" s="8">
        <v>77</v>
      </c>
      <c r="I311" s="8">
        <v>152</v>
      </c>
      <c r="J311" s="8">
        <v>43</v>
      </c>
      <c r="K311" s="8">
        <v>28</v>
      </c>
      <c r="L311" s="8">
        <v>3</v>
      </c>
      <c r="M311" s="8">
        <v>240</v>
      </c>
      <c r="N311" s="8">
        <v>245</v>
      </c>
    </row>
    <row r="312" spans="1:14" x14ac:dyDescent="0.25">
      <c r="A312" s="6" t="s">
        <v>1069</v>
      </c>
      <c r="B312" s="7" t="s">
        <v>520</v>
      </c>
      <c r="C312" s="7" t="s">
        <v>519</v>
      </c>
      <c r="D312" s="7"/>
      <c r="E312" s="8">
        <v>-131</v>
      </c>
      <c r="F312" s="8">
        <v>-103</v>
      </c>
      <c r="G312" s="8">
        <v>-83</v>
      </c>
      <c r="H312" s="8">
        <v>-173</v>
      </c>
      <c r="I312" s="8">
        <v>-185</v>
      </c>
      <c r="J312" s="8">
        <v>-159</v>
      </c>
      <c r="K312" s="8">
        <v>-169</v>
      </c>
      <c r="L312" s="8">
        <v>-167</v>
      </c>
      <c r="M312" s="8">
        <v>-177.72392787507692</v>
      </c>
      <c r="N312" s="8">
        <v>-179.75245977199154</v>
      </c>
    </row>
    <row r="313" spans="1:14" x14ac:dyDescent="0.25">
      <c r="A313" s="6" t="s">
        <v>1068</v>
      </c>
      <c r="B313" s="7" t="s">
        <v>431</v>
      </c>
      <c r="C313" s="7" t="s">
        <v>432</v>
      </c>
      <c r="D313" s="7"/>
      <c r="E313" s="8">
        <v>-54</v>
      </c>
      <c r="F313" s="8">
        <v>-170</v>
      </c>
      <c r="G313" s="8">
        <v>-42</v>
      </c>
      <c r="H313" s="8">
        <v>-187</v>
      </c>
      <c r="I313" s="8">
        <v>0</v>
      </c>
      <c r="J313" s="8">
        <v>-877</v>
      </c>
      <c r="K313" s="8">
        <v>0</v>
      </c>
      <c r="L313" s="8">
        <v>-105</v>
      </c>
      <c r="M313" s="8">
        <v>-22400</v>
      </c>
      <c r="N313" s="8">
        <v>-1109.4514999999999</v>
      </c>
    </row>
    <row r="314" spans="1:14" x14ac:dyDescent="0.25">
      <c r="A314" s="6" t="s">
        <v>517</v>
      </c>
      <c r="B314" s="7" t="s">
        <v>443</v>
      </c>
      <c r="C314" s="7" t="s">
        <v>444</v>
      </c>
      <c r="D314" s="7"/>
      <c r="E314" s="8">
        <v>102</v>
      </c>
      <c r="F314" s="8">
        <v>27</v>
      </c>
      <c r="G314" s="8">
        <v>19</v>
      </c>
      <c r="H314" s="8">
        <v>26</v>
      </c>
      <c r="I314" s="8">
        <v>22</v>
      </c>
      <c r="J314" s="8">
        <v>22</v>
      </c>
      <c r="K314" s="8">
        <v>9</v>
      </c>
      <c r="L314" s="8">
        <v>18</v>
      </c>
      <c r="M314" s="8" t="s">
        <v>1483</v>
      </c>
      <c r="N314" s="8" t="s">
        <v>1483</v>
      </c>
    </row>
    <row r="315" spans="1:14" x14ac:dyDescent="0.25">
      <c r="A315" s="6" t="s">
        <v>445</v>
      </c>
      <c r="B315" s="7" t="s">
        <v>446</v>
      </c>
      <c r="C315" s="7" t="s">
        <v>447</v>
      </c>
      <c r="D315" s="7"/>
      <c r="E315" s="8">
        <v>-1356</v>
      </c>
      <c r="F315" s="8">
        <v>-1815</v>
      </c>
      <c r="G315" s="8">
        <v>-2215</v>
      </c>
      <c r="H315" s="8">
        <v>-2008</v>
      </c>
      <c r="I315" s="8">
        <v>-1740</v>
      </c>
      <c r="J315" s="8">
        <v>-3133</v>
      </c>
      <c r="K315" s="8">
        <v>-2338</v>
      </c>
      <c r="L315" s="8">
        <v>-2422</v>
      </c>
      <c r="M315" s="8">
        <v>-3874.2205307291579</v>
      </c>
      <c r="N315" s="8">
        <v>-2313.4619621713869</v>
      </c>
    </row>
    <row r="316" spans="1:14" x14ac:dyDescent="0.25">
      <c r="A316" s="6" t="s">
        <v>17</v>
      </c>
      <c r="B316" s="7"/>
      <c r="C316" s="7"/>
      <c r="D316" s="7"/>
      <c r="E316" s="8"/>
      <c r="F316" s="8"/>
      <c r="G316" s="8"/>
      <c r="H316" s="8"/>
      <c r="I316" s="8"/>
      <c r="J316" s="8"/>
      <c r="K316" s="8"/>
      <c r="L316" s="8"/>
      <c r="M316" s="8"/>
      <c r="N316" s="8"/>
    </row>
    <row r="317" spans="1:14" x14ac:dyDescent="0.25">
      <c r="A317" s="6" t="s">
        <v>448</v>
      </c>
      <c r="B317" s="7"/>
      <c r="C317" s="7"/>
      <c r="D317" s="7"/>
      <c r="E317" s="8"/>
      <c r="F317" s="8"/>
      <c r="G317" s="8"/>
      <c r="H317" s="8"/>
      <c r="I317" s="8"/>
      <c r="J317" s="8"/>
      <c r="K317" s="8"/>
      <c r="L317" s="8"/>
      <c r="M317" s="8"/>
      <c r="N317" s="8"/>
    </row>
    <row r="318" spans="1:14" x14ac:dyDescent="0.25">
      <c r="A318" s="6" t="s">
        <v>455</v>
      </c>
      <c r="B318" s="7" t="s">
        <v>456</v>
      </c>
      <c r="C318" s="7" t="s">
        <v>457</v>
      </c>
      <c r="D318" s="7"/>
      <c r="E318" s="8">
        <v>-1974</v>
      </c>
      <c r="F318" s="8">
        <v>-2270</v>
      </c>
      <c r="G318" s="8">
        <v>-2560</v>
      </c>
      <c r="H318" s="8">
        <v>-3202</v>
      </c>
      <c r="I318" s="8">
        <v>-3309</v>
      </c>
      <c r="J318" s="8">
        <v>-3556</v>
      </c>
      <c r="K318" s="8">
        <v>-3836</v>
      </c>
      <c r="L318" s="8">
        <v>-4116</v>
      </c>
      <c r="M318" s="8">
        <v>-4286.0315067247375</v>
      </c>
      <c r="N318" s="8">
        <v>-4584.3960645367397</v>
      </c>
    </row>
    <row r="319" spans="1:14" x14ac:dyDescent="0.25">
      <c r="A319" s="6" t="s">
        <v>458</v>
      </c>
      <c r="B319" s="7" t="s">
        <v>459</v>
      </c>
      <c r="C319" s="7" t="s">
        <v>460</v>
      </c>
      <c r="D319" s="7"/>
      <c r="E319" s="8">
        <v>-8450</v>
      </c>
      <c r="F319" s="8">
        <v>-1599</v>
      </c>
      <c r="G319" s="8">
        <v>-50</v>
      </c>
      <c r="H319" s="8">
        <v>-248</v>
      </c>
      <c r="I319" s="8">
        <v>-699</v>
      </c>
      <c r="J319" s="8">
        <v>-2475</v>
      </c>
      <c r="K319" s="8">
        <v>-537</v>
      </c>
      <c r="L319" s="8">
        <v>-1614</v>
      </c>
      <c r="M319" s="8">
        <v>3178</v>
      </c>
      <c r="N319" s="8">
        <v>-970.42060000000004</v>
      </c>
    </row>
    <row r="320" spans="1:14" x14ac:dyDescent="0.25">
      <c r="A320" s="6" t="s">
        <v>1067</v>
      </c>
      <c r="B320" s="7" t="s">
        <v>450</v>
      </c>
      <c r="C320" s="7" t="s">
        <v>451</v>
      </c>
      <c r="D320" s="7"/>
      <c r="E320" s="8">
        <v>-12433</v>
      </c>
      <c r="F320" s="8">
        <v>-3441</v>
      </c>
      <c r="G320" s="8">
        <v>-1333</v>
      </c>
      <c r="H320" s="8">
        <v>-48</v>
      </c>
      <c r="I320" s="8">
        <v>-753</v>
      </c>
      <c r="J320" s="8">
        <v>-2498</v>
      </c>
      <c r="K320" s="8">
        <v>-660</v>
      </c>
      <c r="L320" s="8">
        <v>-1504</v>
      </c>
      <c r="M320" s="8">
        <v>-2185</v>
      </c>
      <c r="N320" s="8">
        <v>-515.25333333333333</v>
      </c>
    </row>
    <row r="321" spans="1:14" x14ac:dyDescent="0.25">
      <c r="A321" s="6" t="s">
        <v>1066</v>
      </c>
      <c r="B321" s="7" t="s">
        <v>462</v>
      </c>
      <c r="C321" s="7" t="s">
        <v>463</v>
      </c>
      <c r="D321" s="7"/>
      <c r="E321" s="8">
        <v>4009</v>
      </c>
      <c r="F321" s="8">
        <v>1842</v>
      </c>
      <c r="G321" s="8">
        <v>1281</v>
      </c>
      <c r="H321" s="8">
        <v>4</v>
      </c>
      <c r="I321" s="8">
        <v>7</v>
      </c>
      <c r="J321" s="8">
        <v>2</v>
      </c>
      <c r="K321" s="8">
        <v>223</v>
      </c>
      <c r="L321" s="8">
        <v>5</v>
      </c>
      <c r="M321" s="8" t="s">
        <v>1483</v>
      </c>
      <c r="N321" s="8" t="s">
        <v>1483</v>
      </c>
    </row>
    <row r="322" spans="1:14" x14ac:dyDescent="0.25">
      <c r="A322" s="6" t="s">
        <v>1065</v>
      </c>
      <c r="B322" s="7" t="s">
        <v>1064</v>
      </c>
      <c r="C322" s="7" t="s">
        <v>1063</v>
      </c>
      <c r="D322" s="7"/>
      <c r="E322" s="8">
        <v>-26</v>
      </c>
      <c r="F322" s="8">
        <v>0</v>
      </c>
      <c r="G322" s="8">
        <v>2</v>
      </c>
      <c r="H322" s="8">
        <v>-204</v>
      </c>
      <c r="I322" s="8">
        <v>47</v>
      </c>
      <c r="J322" s="8">
        <v>21</v>
      </c>
      <c r="K322" s="8">
        <v>-100</v>
      </c>
      <c r="L322" s="8">
        <v>-115</v>
      </c>
      <c r="M322" s="8">
        <v>-2273</v>
      </c>
      <c r="N322" s="8">
        <v>-132.5</v>
      </c>
    </row>
    <row r="323" spans="1:14" x14ac:dyDescent="0.25">
      <c r="A323" s="6" t="s">
        <v>1062</v>
      </c>
      <c r="B323" s="7" t="s">
        <v>1061</v>
      </c>
      <c r="C323" s="7" t="s">
        <v>1060</v>
      </c>
      <c r="D323" s="7"/>
      <c r="E323" s="8">
        <v>271</v>
      </c>
      <c r="F323" s="8">
        <v>298</v>
      </c>
      <c r="G323" s="8">
        <v>245</v>
      </c>
      <c r="H323" s="8">
        <v>255</v>
      </c>
      <c r="I323" s="8">
        <v>167</v>
      </c>
      <c r="J323" s="8">
        <v>167</v>
      </c>
      <c r="K323" s="8">
        <v>264</v>
      </c>
      <c r="L323" s="8">
        <v>396</v>
      </c>
      <c r="M323" s="8">
        <v>211.33333333333289</v>
      </c>
      <c r="N323" s="8">
        <v>303.60633333333334</v>
      </c>
    </row>
    <row r="324" spans="1:14" x14ac:dyDescent="0.25">
      <c r="A324" s="6" t="s">
        <v>1059</v>
      </c>
      <c r="B324" s="7" t="s">
        <v>505</v>
      </c>
      <c r="C324" s="7" t="s">
        <v>504</v>
      </c>
      <c r="D324" s="7"/>
      <c r="E324" s="8">
        <v>-238</v>
      </c>
      <c r="F324" s="8">
        <v>-718</v>
      </c>
      <c r="G324" s="8">
        <v>-403</v>
      </c>
      <c r="H324" s="8">
        <v>-2299</v>
      </c>
      <c r="I324" s="8">
        <v>-3795</v>
      </c>
      <c r="J324" s="8">
        <v>-1227</v>
      </c>
      <c r="K324" s="8">
        <v>-1295</v>
      </c>
      <c r="L324" s="8">
        <v>-893</v>
      </c>
      <c r="M324" s="8">
        <v>-2067.768946626325</v>
      </c>
      <c r="N324" s="8">
        <v>-2665.190851346661</v>
      </c>
    </row>
    <row r="325" spans="1:14" x14ac:dyDescent="0.25">
      <c r="A325" s="6" t="s">
        <v>1058</v>
      </c>
      <c r="B325" s="7" t="s">
        <v>1057</v>
      </c>
      <c r="C325" s="7" t="s">
        <v>1056</v>
      </c>
      <c r="D325" s="7"/>
      <c r="E325" s="8">
        <v>-8424</v>
      </c>
      <c r="F325" s="8">
        <v>-1599</v>
      </c>
      <c r="G325" s="8">
        <v>-52</v>
      </c>
      <c r="H325" s="8">
        <v>-44</v>
      </c>
      <c r="I325" s="8">
        <v>-746</v>
      </c>
      <c r="J325" s="8">
        <v>-2496</v>
      </c>
      <c r="K325" s="8">
        <v>-437</v>
      </c>
      <c r="L325" s="8">
        <v>-1499</v>
      </c>
      <c r="M325" s="8" t="s">
        <v>1483</v>
      </c>
      <c r="N325" s="8" t="s">
        <v>1483</v>
      </c>
    </row>
    <row r="326" spans="1:14" x14ac:dyDescent="0.25">
      <c r="A326" s="6" t="s">
        <v>467</v>
      </c>
      <c r="B326" s="7" t="s">
        <v>468</v>
      </c>
      <c r="C326" s="7" t="s">
        <v>469</v>
      </c>
      <c r="D326" s="7"/>
      <c r="E326" s="8">
        <v>-10391</v>
      </c>
      <c r="F326" s="8">
        <v>-4289</v>
      </c>
      <c r="G326" s="8">
        <v>-2779</v>
      </c>
      <c r="H326" s="8">
        <v>-5494</v>
      </c>
      <c r="I326" s="8">
        <v>-7636</v>
      </c>
      <c r="J326" s="8">
        <v>-7091</v>
      </c>
      <c r="K326" s="8">
        <v>-5404</v>
      </c>
      <c r="L326" s="8">
        <v>-6309</v>
      </c>
      <c r="M326" s="8">
        <v>-5297.7876535032492</v>
      </c>
      <c r="N326" s="8">
        <v>-6654.1387677120574</v>
      </c>
    </row>
    <row r="327" spans="1:14" x14ac:dyDescent="0.25">
      <c r="A327" s="6" t="s">
        <v>17</v>
      </c>
      <c r="B327" s="7"/>
      <c r="C327" s="7"/>
      <c r="D327" s="7"/>
      <c r="E327" s="8"/>
      <c r="F327" s="8"/>
      <c r="G327" s="8"/>
      <c r="H327" s="8"/>
      <c r="I327" s="8"/>
      <c r="J327" s="8"/>
      <c r="K327" s="8"/>
      <c r="L327" s="8"/>
      <c r="M327" s="8"/>
      <c r="N327" s="8"/>
    </row>
    <row r="328" spans="1:14" x14ac:dyDescent="0.25">
      <c r="A328" s="6" t="s">
        <v>360</v>
      </c>
      <c r="B328" s="7"/>
      <c r="C328" s="7"/>
      <c r="D328" s="7"/>
      <c r="E328" s="8"/>
      <c r="F328" s="8"/>
      <c r="G328" s="8"/>
      <c r="H328" s="8"/>
      <c r="I328" s="8"/>
      <c r="J328" s="8"/>
      <c r="K328" s="8"/>
      <c r="L328" s="8"/>
      <c r="M328" s="8"/>
      <c r="N328" s="8"/>
    </row>
    <row r="329" spans="1:14" x14ac:dyDescent="0.25">
      <c r="A329" s="6" t="s">
        <v>499</v>
      </c>
      <c r="B329" s="7" t="s">
        <v>490</v>
      </c>
      <c r="C329" s="7" t="s">
        <v>491</v>
      </c>
      <c r="D329" s="7"/>
      <c r="E329" s="8">
        <v>-116</v>
      </c>
      <c r="F329" s="8">
        <v>-16</v>
      </c>
      <c r="G329" s="8">
        <v>71</v>
      </c>
      <c r="H329" s="8">
        <v>-70</v>
      </c>
      <c r="I329" s="8">
        <v>-122</v>
      </c>
      <c r="J329" s="8">
        <v>-23</v>
      </c>
      <c r="K329" s="8">
        <v>-96</v>
      </c>
      <c r="L329" s="8">
        <v>71</v>
      </c>
      <c r="M329" s="8">
        <v>0</v>
      </c>
      <c r="N329" s="8">
        <v>0</v>
      </c>
    </row>
    <row r="330" spans="1:14" x14ac:dyDescent="0.25">
      <c r="A330" s="6" t="s">
        <v>470</v>
      </c>
      <c r="B330" s="7" t="s">
        <v>471</v>
      </c>
      <c r="C330" s="7" t="s">
        <v>472</v>
      </c>
      <c r="D330" s="7"/>
      <c r="E330" s="8">
        <v>-5563</v>
      </c>
      <c r="F330" s="8">
        <v>16</v>
      </c>
      <c r="G330" s="8">
        <v>2978</v>
      </c>
      <c r="H330" s="8">
        <v>2961</v>
      </c>
      <c r="I330" s="8">
        <v>83</v>
      </c>
      <c r="J330" s="8">
        <v>-2986</v>
      </c>
      <c r="K330" s="8">
        <v>720</v>
      </c>
      <c r="L330" s="8">
        <v>906</v>
      </c>
      <c r="M330" s="8">
        <v>2043.212062993473</v>
      </c>
      <c r="N330" s="8">
        <v>3487.0853567195977</v>
      </c>
    </row>
    <row r="331" spans="1:14" x14ac:dyDescent="0.25">
      <c r="A331" s="6" t="s">
        <v>498</v>
      </c>
      <c r="B331" s="7" t="s">
        <v>475</v>
      </c>
      <c r="C331" s="7" t="s">
        <v>476</v>
      </c>
      <c r="D331" s="7"/>
      <c r="E331" s="8">
        <v>9407</v>
      </c>
      <c r="F331" s="8">
        <v>3844</v>
      </c>
      <c r="G331" s="8">
        <v>3860</v>
      </c>
      <c r="H331" s="8">
        <v>6838</v>
      </c>
      <c r="I331" s="8">
        <v>9799</v>
      </c>
      <c r="J331" s="8">
        <v>9882</v>
      </c>
      <c r="K331" s="8">
        <v>6896</v>
      </c>
      <c r="L331" s="8">
        <v>7616</v>
      </c>
      <c r="M331" s="8">
        <v>9232.8130024878865</v>
      </c>
      <c r="N331" s="8">
        <v>11358.845840029166</v>
      </c>
    </row>
    <row r="332" spans="1:14" x14ac:dyDescent="0.25">
      <c r="A332" s="6" t="s">
        <v>497</v>
      </c>
      <c r="B332" s="7" t="s">
        <v>262</v>
      </c>
      <c r="C332" s="7" t="s">
        <v>263</v>
      </c>
      <c r="D332" s="7"/>
      <c r="E332" s="8">
        <v>3844</v>
      </c>
      <c r="F332" s="8">
        <v>3860</v>
      </c>
      <c r="G332" s="8">
        <v>6838</v>
      </c>
      <c r="H332" s="8">
        <v>9799</v>
      </c>
      <c r="I332" s="8">
        <v>9882</v>
      </c>
      <c r="J332" s="8">
        <v>6896</v>
      </c>
      <c r="K332" s="8">
        <v>7616</v>
      </c>
      <c r="L332" s="8">
        <v>8522</v>
      </c>
      <c r="M332" s="8">
        <v>11282.108999699523</v>
      </c>
      <c r="N332" s="8">
        <v>14578.961306376053</v>
      </c>
    </row>
    <row r="333" spans="1:14" x14ac:dyDescent="0.25">
      <c r="A333" s="6" t="s">
        <v>376</v>
      </c>
      <c r="B333" s="7"/>
      <c r="C333" s="7"/>
      <c r="D333" s="7"/>
      <c r="E333" s="8"/>
      <c r="F333" s="8"/>
      <c r="G333" s="8"/>
      <c r="H333" s="8"/>
      <c r="I333" s="8"/>
      <c r="J333" s="8"/>
      <c r="K333" s="8"/>
      <c r="L333" s="8"/>
      <c r="M333" s="8"/>
      <c r="N333" s="8"/>
    </row>
    <row r="334" spans="1:14" x14ac:dyDescent="0.25">
      <c r="A334" s="6" t="s">
        <v>480</v>
      </c>
      <c r="B334" s="7" t="s">
        <v>59</v>
      </c>
      <c r="C334" s="7" t="s">
        <v>60</v>
      </c>
      <c r="D334" s="7"/>
      <c r="E334" s="8">
        <v>4906</v>
      </c>
      <c r="F334" s="8">
        <v>4498</v>
      </c>
      <c r="G334" s="8">
        <v>5724</v>
      </c>
      <c r="H334" s="8">
        <v>8648</v>
      </c>
      <c r="I334" s="8">
        <v>7804</v>
      </c>
      <c r="J334" s="8">
        <v>5059</v>
      </c>
      <c r="K334" s="8">
        <v>6351</v>
      </c>
      <c r="L334" s="8">
        <v>7395</v>
      </c>
      <c r="M334" s="8">
        <v>8746.5808764617177</v>
      </c>
      <c r="N334" s="8">
        <v>9550.4932435907303</v>
      </c>
    </row>
    <row r="335" spans="1:14" x14ac:dyDescent="0.25">
      <c r="A335" s="6" t="s">
        <v>483</v>
      </c>
      <c r="B335" s="7" t="s">
        <v>484</v>
      </c>
      <c r="C335" s="7" t="s">
        <v>485</v>
      </c>
      <c r="D335" s="7"/>
      <c r="E335" s="8">
        <v>16.044214794950619</v>
      </c>
      <c r="F335" s="8">
        <v>14.098545636910732</v>
      </c>
      <c r="G335" s="8">
        <v>16.539528432732315</v>
      </c>
      <c r="H335" s="8">
        <v>20.07661056297156</v>
      </c>
      <c r="I335" s="8">
        <v>17.877350926625891</v>
      </c>
      <c r="J335" s="8">
        <v>12.613129222867686</v>
      </c>
      <c r="K335" s="8">
        <v>15.139451728247915</v>
      </c>
      <c r="L335" s="8">
        <v>16.682458040064969</v>
      </c>
      <c r="M335" s="8">
        <v>17.265018799655632</v>
      </c>
      <c r="N335" s="8">
        <v>17.968908950642188</v>
      </c>
    </row>
    <row r="336" spans="1:14" x14ac:dyDescent="0.25">
      <c r="A336" s="6" t="s">
        <v>1055</v>
      </c>
      <c r="B336" s="7" t="s">
        <v>487</v>
      </c>
      <c r="C336" s="7" t="s">
        <v>488</v>
      </c>
      <c r="D336" s="7"/>
      <c r="E336" s="8">
        <v>2.7717514124293787</v>
      </c>
      <c r="F336" s="8">
        <v>2.5255474452554743</v>
      </c>
      <c r="G336" s="8">
        <v>3.2049272116461367</v>
      </c>
      <c r="H336" s="8">
        <v>4.8339854667411961</v>
      </c>
      <c r="I336" s="8">
        <v>4.4240362811791387</v>
      </c>
      <c r="J336" s="8">
        <v>2.8925100057175528</v>
      </c>
      <c r="K336" s="8">
        <v>3.6332951945080092</v>
      </c>
      <c r="L336" s="8">
        <v>4.2281303602058316</v>
      </c>
      <c r="M336" s="8">
        <v>5.2017165471066447</v>
      </c>
      <c r="N336" s="8">
        <v>5.3424052867095213</v>
      </c>
    </row>
    <row r="337" spans="1:14" x14ac:dyDescent="0.25">
      <c r="A337" s="6" t="s">
        <v>1054</v>
      </c>
      <c r="B337" s="7" t="s">
        <v>428</v>
      </c>
      <c r="C337" s="7" t="s">
        <v>429</v>
      </c>
      <c r="D337" s="7"/>
      <c r="E337" s="8">
        <v>4.5588331480149122</v>
      </c>
      <c r="F337" s="8">
        <v>5.1341524573721165</v>
      </c>
      <c r="G337" s="8">
        <v>6.2904530744336569</v>
      </c>
      <c r="H337" s="8">
        <v>4.3760882182240284</v>
      </c>
      <c r="I337" s="8">
        <v>4.0707396971571255</v>
      </c>
      <c r="J337" s="8">
        <v>5.4900396419756161</v>
      </c>
      <c r="K337" s="8">
        <v>5.2610250297973771</v>
      </c>
      <c r="L337" s="8">
        <v>4.8975816639595742</v>
      </c>
      <c r="M337" s="8">
        <v>4.9774055851454415</v>
      </c>
      <c r="N337" s="8">
        <v>4.7995885379323493</v>
      </c>
    </row>
    <row r="338" spans="1:14" x14ac:dyDescent="0.25">
      <c r="A338" s="6" t="s">
        <v>17</v>
      </c>
      <c r="B338" s="7"/>
      <c r="C338" s="7"/>
      <c r="D338" s="7"/>
      <c r="E338" s="8"/>
      <c r="F338" s="8"/>
      <c r="G338" s="8"/>
      <c r="H338" s="8"/>
      <c r="I338" s="8"/>
      <c r="J338" s="8"/>
      <c r="K338" s="8"/>
      <c r="L338" s="8"/>
      <c r="M338" s="8"/>
      <c r="N338" s="8"/>
    </row>
    <row r="339" spans="1:14" x14ac:dyDescent="0.25">
      <c r="A339" s="9" t="s">
        <v>492</v>
      </c>
      <c r="B339" s="9"/>
      <c r="C339" s="9"/>
      <c r="D339" s="9"/>
      <c r="E339" s="9"/>
      <c r="F339" s="9"/>
      <c r="G339" s="9"/>
      <c r="H339" s="9"/>
      <c r="I339" s="9"/>
      <c r="J339" s="9"/>
      <c r="K339" s="9"/>
      <c r="L339" s="9"/>
      <c r="M339" s="9"/>
      <c r="N339" s="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519D-EE31-4D3C-8937-AA63455E13C0}">
  <sheetPr codeName="Sheet18">
    <tabColor theme="6"/>
  </sheetPr>
  <dimension ref="A1:N248"/>
  <sheetViews>
    <sheetView workbookViewId="0">
      <selection activeCell="A220" sqref="A220"/>
    </sheetView>
  </sheetViews>
  <sheetFormatPr defaultRowHeight="15" x14ac:dyDescent="0.25"/>
  <cols>
    <col min="1" max="1" width="34.28515625" customWidth="1"/>
    <col min="2" max="4" width="0" hidden="1" customWidth="1"/>
    <col min="5" max="14" width="19" customWidth="1"/>
  </cols>
  <sheetData>
    <row r="1" spans="1:14" ht="20.25" x14ac:dyDescent="0.25">
      <c r="A1" s="1" t="s">
        <v>1414</v>
      </c>
      <c r="B1" s="1"/>
      <c r="C1" s="1"/>
      <c r="D1" s="1"/>
      <c r="E1" s="1"/>
      <c r="F1" s="1"/>
      <c r="G1" s="1"/>
      <c r="H1" s="1"/>
      <c r="I1" s="1"/>
      <c r="J1" s="1"/>
      <c r="K1" s="1"/>
      <c r="L1" s="1"/>
      <c r="M1" s="1"/>
      <c r="N1" s="1"/>
    </row>
    <row r="2" spans="1:14" x14ac:dyDescent="0.25">
      <c r="A2" s="2" t="s">
        <v>1413</v>
      </c>
      <c r="B2" s="2"/>
      <c r="C2" s="2"/>
      <c r="D2" s="2"/>
      <c r="E2" s="2"/>
      <c r="F2" s="2"/>
      <c r="G2" s="2"/>
      <c r="H2" s="2"/>
      <c r="I2" s="2"/>
      <c r="J2" s="2"/>
      <c r="K2" s="2"/>
      <c r="L2" s="2"/>
      <c r="M2" s="2"/>
    </row>
    <row r="3" spans="1:14" x14ac:dyDescent="0.25">
      <c r="A3" s="3" t="s">
        <v>2</v>
      </c>
      <c r="B3" s="3"/>
      <c r="C3" s="3"/>
      <c r="D3" s="3"/>
      <c r="E3" s="3" t="s">
        <v>1473</v>
      </c>
      <c r="F3" s="3" t="s">
        <v>1474</v>
      </c>
      <c r="G3" s="3" t="s">
        <v>1475</v>
      </c>
      <c r="H3" s="3" t="s">
        <v>1476</v>
      </c>
      <c r="I3" s="3" t="s">
        <v>1477</v>
      </c>
      <c r="J3" s="3" t="s">
        <v>1478</v>
      </c>
      <c r="K3" s="3" t="s">
        <v>1479</v>
      </c>
      <c r="L3" s="3" t="s">
        <v>1480</v>
      </c>
      <c r="M3" s="3" t="s">
        <v>1481</v>
      </c>
      <c r="N3" s="3" t="s">
        <v>1482</v>
      </c>
    </row>
    <row r="4" spans="1:14" x14ac:dyDescent="0.25">
      <c r="A4" s="4" t="s">
        <v>3</v>
      </c>
      <c r="B4" s="4" t="s">
        <v>4</v>
      </c>
      <c r="C4" s="4" t="s">
        <v>5</v>
      </c>
      <c r="D4" s="4" t="s">
        <v>6</v>
      </c>
      <c r="E4" s="5">
        <v>43465</v>
      </c>
      <c r="F4" s="5">
        <v>43830</v>
      </c>
      <c r="G4" s="5">
        <v>44196</v>
      </c>
      <c r="H4" s="5">
        <v>44561</v>
      </c>
      <c r="I4" s="5">
        <v>44926</v>
      </c>
      <c r="J4" s="5">
        <v>45291</v>
      </c>
      <c r="K4" s="5">
        <v>45657</v>
      </c>
      <c r="L4" s="5">
        <v>46022</v>
      </c>
      <c r="M4" s="5">
        <v>46387</v>
      </c>
      <c r="N4" s="5">
        <v>46752</v>
      </c>
    </row>
    <row r="5" spans="1:14" x14ac:dyDescent="0.25">
      <c r="A5" s="6" t="s">
        <v>7</v>
      </c>
      <c r="B5" s="7"/>
      <c r="C5" s="7"/>
      <c r="D5" s="7"/>
      <c r="E5" s="8"/>
      <c r="F5" s="8"/>
      <c r="G5" s="8"/>
      <c r="H5" s="8"/>
      <c r="I5" s="8"/>
      <c r="J5" s="8"/>
      <c r="K5" s="8"/>
      <c r="L5" s="8"/>
      <c r="M5" s="8"/>
      <c r="N5" s="8"/>
    </row>
    <row r="6" spans="1:14" x14ac:dyDescent="0.25">
      <c r="A6" s="6" t="s">
        <v>8</v>
      </c>
      <c r="B6" s="7" t="s">
        <v>9</v>
      </c>
      <c r="C6" s="7" t="s">
        <v>10</v>
      </c>
      <c r="D6" s="7"/>
      <c r="E6" s="8">
        <v>1.47</v>
      </c>
      <c r="F6" s="8">
        <v>1.58</v>
      </c>
      <c r="G6" s="8">
        <v>0.96</v>
      </c>
      <c r="H6" s="8">
        <v>1.63</v>
      </c>
      <c r="I6" s="8">
        <v>1.71</v>
      </c>
      <c r="J6" s="8">
        <v>2.0499999999999998</v>
      </c>
      <c r="K6" s="8">
        <v>2.5099999999999998</v>
      </c>
      <c r="L6" s="8">
        <v>3.06</v>
      </c>
      <c r="M6" s="8">
        <v>3.4640624999999998</v>
      </c>
      <c r="N6" s="8">
        <v>3.9132258064516141</v>
      </c>
    </row>
    <row r="7" spans="1:14" x14ac:dyDescent="0.25">
      <c r="A7" s="6" t="s">
        <v>11</v>
      </c>
      <c r="B7" s="7" t="s">
        <v>12</v>
      </c>
      <c r="C7" s="7" t="s">
        <v>13</v>
      </c>
      <c r="D7" s="7"/>
      <c r="E7" s="8">
        <v>9823</v>
      </c>
      <c r="F7" s="8">
        <v>10735</v>
      </c>
      <c r="G7" s="8">
        <v>9913</v>
      </c>
      <c r="H7" s="8">
        <v>11888</v>
      </c>
      <c r="I7" s="8">
        <v>12682</v>
      </c>
      <c r="J7" s="8">
        <v>14240</v>
      </c>
      <c r="K7" s="8">
        <v>16747</v>
      </c>
      <c r="L7" s="8">
        <v>20074</v>
      </c>
      <c r="M7" s="8">
        <v>22267.34375</v>
      </c>
      <c r="N7" s="8">
        <v>24604.903225806451</v>
      </c>
    </row>
    <row r="8" spans="1:14" x14ac:dyDescent="0.25">
      <c r="A8" s="6" t="s">
        <v>1412</v>
      </c>
      <c r="B8" s="7" t="s">
        <v>75</v>
      </c>
      <c r="C8" s="7" t="s">
        <v>76</v>
      </c>
      <c r="D8" s="7"/>
      <c r="E8" s="8">
        <v>8</v>
      </c>
      <c r="F8" s="8">
        <v>11.1</v>
      </c>
      <c r="G8" s="8">
        <v>-7.8</v>
      </c>
      <c r="H8" s="8">
        <v>18.7</v>
      </c>
      <c r="I8" s="8">
        <v>11.1</v>
      </c>
      <c r="J8" s="8">
        <v>13.1</v>
      </c>
      <c r="K8" s="8">
        <v>18.5</v>
      </c>
      <c r="L8" s="8">
        <v>19.2</v>
      </c>
      <c r="M8" s="8">
        <v>10.207621713162871</v>
      </c>
      <c r="N8" s="8">
        <v>10.30002295853784</v>
      </c>
    </row>
    <row r="9" spans="1:14" x14ac:dyDescent="0.25">
      <c r="A9" s="6" t="s">
        <v>14</v>
      </c>
      <c r="B9" s="7" t="s">
        <v>15</v>
      </c>
      <c r="C9" s="7" t="s">
        <v>16</v>
      </c>
      <c r="D9" s="7"/>
      <c r="E9" s="8">
        <v>7.2</v>
      </c>
      <c r="F9" s="8">
        <v>7.3</v>
      </c>
      <c r="G9" s="8">
        <v>-11.3</v>
      </c>
      <c r="H9" s="8">
        <v>18.899999999999999</v>
      </c>
      <c r="I9" s="8">
        <v>8.6999999999999993</v>
      </c>
      <c r="J9" s="8">
        <v>12.3</v>
      </c>
      <c r="K9" s="8">
        <v>16.399999999999999</v>
      </c>
      <c r="L9" s="8">
        <v>15.8</v>
      </c>
      <c r="M9" s="8">
        <v>9.9174904583072827</v>
      </c>
      <c r="N9" s="8">
        <v>10.1073418583111</v>
      </c>
    </row>
    <row r="10" spans="1:14" x14ac:dyDescent="0.25">
      <c r="A10" s="6" t="s">
        <v>17</v>
      </c>
      <c r="B10" s="7"/>
      <c r="C10" s="7"/>
      <c r="D10" s="7"/>
      <c r="E10" s="8"/>
      <c r="F10" s="8"/>
      <c r="G10" s="8"/>
      <c r="H10" s="8"/>
      <c r="I10" s="8"/>
      <c r="J10" s="8"/>
      <c r="K10" s="8"/>
      <c r="L10" s="8"/>
      <c r="M10" s="8"/>
      <c r="N10" s="8"/>
    </row>
    <row r="11" spans="1:14" x14ac:dyDescent="0.25">
      <c r="A11" s="6" t="s">
        <v>1051</v>
      </c>
      <c r="B11" s="7"/>
      <c r="C11" s="7"/>
      <c r="D11" s="7"/>
      <c r="E11" s="8"/>
      <c r="F11" s="8"/>
      <c r="G11" s="8"/>
      <c r="H11" s="8"/>
      <c r="I11" s="8"/>
      <c r="J11" s="8"/>
      <c r="K11" s="8"/>
      <c r="L11" s="8"/>
      <c r="M11" s="8"/>
      <c r="N11" s="8"/>
    </row>
    <row r="12" spans="1:14" x14ac:dyDescent="0.25">
      <c r="A12" s="6" t="s">
        <v>1389</v>
      </c>
      <c r="B12" s="7" t="s">
        <v>20</v>
      </c>
      <c r="C12" s="7" t="s">
        <v>21</v>
      </c>
      <c r="D12" s="7" t="s">
        <v>1388</v>
      </c>
      <c r="E12" s="8">
        <v>3777</v>
      </c>
      <c r="F12" s="8">
        <v>4207</v>
      </c>
      <c r="G12" s="8">
        <v>3876</v>
      </c>
      <c r="H12" s="8">
        <v>7242</v>
      </c>
      <c r="I12" s="8">
        <v>7830</v>
      </c>
      <c r="J12" s="8">
        <v>8819</v>
      </c>
      <c r="K12" s="8">
        <v>10754</v>
      </c>
      <c r="L12" s="8">
        <v>13250</v>
      </c>
      <c r="M12" s="8">
        <v>14860.226798368552</v>
      </c>
      <c r="N12" s="8">
        <v>16587.256026652045</v>
      </c>
    </row>
    <row r="13" spans="1:14" x14ac:dyDescent="0.25">
      <c r="A13" s="6" t="s">
        <v>23</v>
      </c>
      <c r="B13" s="7" t="s">
        <v>15</v>
      </c>
      <c r="C13" s="7" t="s">
        <v>16</v>
      </c>
      <c r="D13" s="7" t="s">
        <v>1388</v>
      </c>
      <c r="E13" s="8">
        <v>6</v>
      </c>
      <c r="F13" s="8">
        <v>9.3000000000000007</v>
      </c>
      <c r="G13" s="8">
        <v>-13.1</v>
      </c>
      <c r="H13" s="8">
        <v>23.9</v>
      </c>
      <c r="I13" s="8">
        <v>10.1</v>
      </c>
      <c r="J13" s="8">
        <v>12.9</v>
      </c>
      <c r="K13" s="8">
        <v>21.9</v>
      </c>
      <c r="L13" s="8">
        <v>20.8</v>
      </c>
      <c r="M13" s="8">
        <v>11.909247136490903</v>
      </c>
      <c r="N13" s="8">
        <v>11.857658748053968</v>
      </c>
    </row>
    <row r="14" spans="1:14" x14ac:dyDescent="0.25">
      <c r="A14" s="6" t="s">
        <v>1394</v>
      </c>
      <c r="B14" s="7" t="s">
        <v>20</v>
      </c>
      <c r="C14" s="7" t="s">
        <v>21</v>
      </c>
      <c r="D14" s="7" t="s">
        <v>1393</v>
      </c>
      <c r="E14" s="8">
        <v>3006</v>
      </c>
      <c r="F14" s="8">
        <v>3307</v>
      </c>
      <c r="G14" s="8">
        <v>3066</v>
      </c>
      <c r="H14" s="8">
        <v>4633</v>
      </c>
      <c r="I14" s="8">
        <v>4911</v>
      </c>
      <c r="J14" s="8">
        <v>5422</v>
      </c>
      <c r="K14" s="8">
        <v>5993</v>
      </c>
      <c r="L14" s="8">
        <v>6825</v>
      </c>
      <c r="M14" s="8">
        <v>7385.1978919812263</v>
      </c>
      <c r="N14" s="8">
        <v>7963.1351656886627</v>
      </c>
    </row>
    <row r="15" spans="1:14" x14ac:dyDescent="0.25">
      <c r="A15" s="6" t="s">
        <v>23</v>
      </c>
      <c r="B15" s="7" t="s">
        <v>15</v>
      </c>
      <c r="C15" s="7" t="s">
        <v>16</v>
      </c>
      <c r="D15" s="7" t="s">
        <v>1393</v>
      </c>
      <c r="E15" s="8">
        <v>8.1999999999999993</v>
      </c>
      <c r="F15" s="8">
        <v>8.8000000000000007</v>
      </c>
      <c r="G15" s="8">
        <v>-6.7</v>
      </c>
      <c r="H15" s="8">
        <v>19</v>
      </c>
      <c r="I15" s="8">
        <v>7.7</v>
      </c>
      <c r="J15" s="8">
        <v>10</v>
      </c>
      <c r="K15" s="8">
        <v>7.5</v>
      </c>
      <c r="L15" s="8">
        <v>6.7</v>
      </c>
      <c r="M15" s="8">
        <v>7.4359267817587789</v>
      </c>
      <c r="N15" s="8">
        <v>7.3514252952520849</v>
      </c>
    </row>
    <row r="16" spans="1:14" x14ac:dyDescent="0.25">
      <c r="A16" s="6" t="s">
        <v>17</v>
      </c>
      <c r="B16" s="7"/>
      <c r="C16" s="7"/>
      <c r="D16" s="7"/>
      <c r="E16" s="8"/>
      <c r="F16" s="8"/>
      <c r="G16" s="8"/>
      <c r="H16" s="8"/>
      <c r="I16" s="8"/>
      <c r="J16" s="8"/>
      <c r="K16" s="8"/>
      <c r="L16" s="8"/>
      <c r="M16" s="8"/>
      <c r="N16" s="8"/>
    </row>
    <row r="17" spans="1:14" x14ac:dyDescent="0.25">
      <c r="A17" s="6" t="s">
        <v>46</v>
      </c>
      <c r="B17" s="7" t="s">
        <v>47</v>
      </c>
      <c r="C17" s="7" t="s">
        <v>48</v>
      </c>
      <c r="D17" s="7"/>
      <c r="E17" s="8">
        <v>71.373307999999994</v>
      </c>
      <c r="F17" s="8">
        <v>72.370750000000001</v>
      </c>
      <c r="G17" s="8">
        <v>67.134066000000004</v>
      </c>
      <c r="H17" s="8">
        <v>68.783647000000002</v>
      </c>
      <c r="I17" s="8">
        <v>70.454187000000005</v>
      </c>
      <c r="J17" s="8">
        <v>70.737359999999995</v>
      </c>
      <c r="K17" s="8">
        <v>70.317071999999996</v>
      </c>
      <c r="L17" s="8">
        <v>69.014645999999999</v>
      </c>
      <c r="M17" s="8">
        <v>70.53350050792605</v>
      </c>
      <c r="N17" s="8">
        <v>70.713997350519861</v>
      </c>
    </row>
    <row r="18" spans="1:14" x14ac:dyDescent="0.25">
      <c r="A18" s="6" t="s">
        <v>49</v>
      </c>
      <c r="B18" s="7" t="s">
        <v>50</v>
      </c>
      <c r="C18" s="7" t="s">
        <v>51</v>
      </c>
      <c r="D18" s="7"/>
      <c r="E18" s="8">
        <v>25.5</v>
      </c>
      <c r="F18" s="8">
        <v>26.1</v>
      </c>
      <c r="G18" s="8">
        <v>19.3</v>
      </c>
      <c r="H18" s="8">
        <v>25.3</v>
      </c>
      <c r="I18" s="8">
        <v>25.6</v>
      </c>
      <c r="J18" s="8">
        <v>26.3</v>
      </c>
      <c r="K18" s="8">
        <v>27</v>
      </c>
      <c r="L18" s="8">
        <v>28</v>
      </c>
      <c r="M18" s="8">
        <v>28.452402816049595</v>
      </c>
      <c r="N18" s="8">
        <v>28.98955870525629</v>
      </c>
    </row>
    <row r="19" spans="1:14" x14ac:dyDescent="0.25">
      <c r="A19" s="6" t="s">
        <v>52</v>
      </c>
      <c r="B19" s="7" t="s">
        <v>53</v>
      </c>
      <c r="C19" s="7" t="s">
        <v>54</v>
      </c>
      <c r="D19" s="7"/>
      <c r="E19" s="8">
        <v>2060</v>
      </c>
      <c r="F19" s="8">
        <v>2234</v>
      </c>
      <c r="G19" s="8">
        <v>1378</v>
      </c>
      <c r="H19" s="8">
        <v>2336</v>
      </c>
      <c r="I19" s="8">
        <v>2459</v>
      </c>
      <c r="J19" s="8">
        <v>2999</v>
      </c>
      <c r="K19" s="8">
        <v>3725</v>
      </c>
      <c r="L19" s="8">
        <v>4574</v>
      </c>
      <c r="M19" s="8">
        <v>5189.7241379310344</v>
      </c>
      <c r="N19" s="8">
        <v>5868.1612903225805</v>
      </c>
    </row>
    <row r="20" spans="1:14" x14ac:dyDescent="0.25">
      <c r="A20" s="6" t="s">
        <v>17</v>
      </c>
      <c r="B20" s="7"/>
      <c r="C20" s="7"/>
      <c r="D20" s="7"/>
      <c r="E20" s="8"/>
      <c r="F20" s="8"/>
      <c r="G20" s="8"/>
      <c r="H20" s="8"/>
      <c r="I20" s="8"/>
      <c r="J20" s="8"/>
      <c r="K20" s="8"/>
      <c r="L20" s="8"/>
      <c r="M20" s="8"/>
      <c r="N20" s="8"/>
    </row>
    <row r="21" spans="1:14" x14ac:dyDescent="0.25">
      <c r="A21" s="6" t="s">
        <v>55</v>
      </c>
      <c r="B21" s="7" t="s">
        <v>56</v>
      </c>
      <c r="C21" s="7" t="s">
        <v>57</v>
      </c>
      <c r="D21" s="7"/>
      <c r="E21" s="8">
        <v>6910</v>
      </c>
      <c r="F21" s="8">
        <v>9791</v>
      </c>
      <c r="G21" s="8">
        <v>7409</v>
      </c>
      <c r="H21" s="8">
        <v>7140</v>
      </c>
      <c r="I21" s="8">
        <v>8007</v>
      </c>
      <c r="J21" s="8">
        <v>8237</v>
      </c>
      <c r="K21" s="8">
        <v>10332</v>
      </c>
      <c r="L21" s="8">
        <v>9471</v>
      </c>
      <c r="M21" s="8">
        <v>5980.625</v>
      </c>
      <c r="N21" s="8">
        <v>1968.625</v>
      </c>
    </row>
    <row r="22" spans="1:14" x14ac:dyDescent="0.25">
      <c r="A22" s="6" t="s">
        <v>58</v>
      </c>
      <c r="B22" s="7" t="s">
        <v>481</v>
      </c>
      <c r="C22" s="7" t="s">
        <v>482</v>
      </c>
      <c r="D22" s="7"/>
      <c r="E22" s="8">
        <v>-5</v>
      </c>
      <c r="F22" s="8">
        <v>1375</v>
      </c>
      <c r="G22" s="8">
        <v>1132</v>
      </c>
      <c r="H22" s="8">
        <v>1316</v>
      </c>
      <c r="I22" s="8">
        <v>938</v>
      </c>
      <c r="J22" s="8">
        <v>1792</v>
      </c>
      <c r="K22" s="8">
        <v>2648</v>
      </c>
      <c r="L22" s="8">
        <v>3659</v>
      </c>
      <c r="M22" s="8">
        <v>4076.39125673737</v>
      </c>
      <c r="N22" s="8">
        <v>4700.5307596633302</v>
      </c>
    </row>
    <row r="23" spans="1:14" x14ac:dyDescent="0.25">
      <c r="A23" s="6" t="s">
        <v>17</v>
      </c>
      <c r="B23" s="7"/>
      <c r="C23" s="7"/>
      <c r="D23" s="7"/>
      <c r="E23" s="8"/>
      <c r="F23" s="8"/>
      <c r="G23" s="8"/>
      <c r="H23" s="8"/>
      <c r="I23" s="8"/>
      <c r="J23" s="8"/>
      <c r="K23" s="8"/>
      <c r="L23" s="8"/>
      <c r="M23" s="8"/>
      <c r="N23" s="8"/>
    </row>
    <row r="24" spans="1:14" x14ac:dyDescent="0.25">
      <c r="A24" s="6" t="s">
        <v>61</v>
      </c>
      <c r="B24" s="7"/>
      <c r="C24" s="7"/>
      <c r="D24" s="7"/>
      <c r="E24" s="8"/>
      <c r="F24" s="8"/>
      <c r="G24" s="8"/>
      <c r="H24" s="8"/>
      <c r="I24" s="8"/>
      <c r="J24" s="8"/>
      <c r="K24" s="8"/>
      <c r="L24" s="8"/>
      <c r="M24" s="8"/>
      <c r="N24" s="8"/>
    </row>
    <row r="25" spans="1:14" x14ac:dyDescent="0.25">
      <c r="A25" s="6" t="s">
        <v>17</v>
      </c>
      <c r="B25" s="7"/>
      <c r="C25" s="7"/>
      <c r="D25" s="7"/>
      <c r="E25" s="8"/>
      <c r="F25" s="8"/>
      <c r="G25" s="8"/>
      <c r="H25" s="8"/>
      <c r="I25" s="8"/>
      <c r="J25" s="8"/>
      <c r="K25" s="8"/>
      <c r="L25" s="8"/>
      <c r="M25" s="8"/>
      <c r="N25" s="8"/>
    </row>
    <row r="26" spans="1:14" x14ac:dyDescent="0.25">
      <c r="A26" s="6" t="s">
        <v>62</v>
      </c>
      <c r="B26" s="7"/>
      <c r="C26" s="7"/>
      <c r="D26" s="7"/>
      <c r="E26" s="8"/>
      <c r="F26" s="8"/>
      <c r="G26" s="8"/>
      <c r="H26" s="8"/>
      <c r="I26" s="8"/>
      <c r="J26" s="8"/>
      <c r="K26" s="8"/>
      <c r="L26" s="8"/>
      <c r="M26" s="8"/>
      <c r="N26" s="8"/>
    </row>
    <row r="27" spans="1:14" x14ac:dyDescent="0.25">
      <c r="A27" s="6" t="s">
        <v>1411</v>
      </c>
      <c r="B27" s="7" t="s">
        <v>15</v>
      </c>
      <c r="C27" s="7" t="s">
        <v>16</v>
      </c>
      <c r="D27" s="7"/>
      <c r="E27" s="8">
        <v>7.2</v>
      </c>
      <c r="F27" s="8">
        <v>7.3</v>
      </c>
      <c r="G27" s="8">
        <v>-11.3</v>
      </c>
      <c r="H27" s="8">
        <v>18.899999999999999</v>
      </c>
      <c r="I27" s="8">
        <v>8.6999999999999993</v>
      </c>
      <c r="J27" s="8">
        <v>12.3</v>
      </c>
      <c r="K27" s="8">
        <v>16.399999999999999</v>
      </c>
      <c r="L27" s="8">
        <v>15.8</v>
      </c>
      <c r="M27" s="8">
        <v>9.9174904583072827</v>
      </c>
      <c r="N27" s="8">
        <v>10.1073418583111</v>
      </c>
    </row>
    <row r="28" spans="1:14" x14ac:dyDescent="0.25">
      <c r="A28" s="6" t="s">
        <v>1410</v>
      </c>
      <c r="B28" s="7" t="s">
        <v>15</v>
      </c>
      <c r="C28" s="7" t="s">
        <v>16</v>
      </c>
      <c r="D28" s="7" t="s">
        <v>1388</v>
      </c>
      <c r="E28" s="8">
        <v>6</v>
      </c>
      <c r="F28" s="8">
        <v>9.3000000000000007</v>
      </c>
      <c r="G28" s="8">
        <v>-13.1</v>
      </c>
      <c r="H28" s="8">
        <v>23.9</v>
      </c>
      <c r="I28" s="8">
        <v>10.1</v>
      </c>
      <c r="J28" s="8">
        <v>12.9</v>
      </c>
      <c r="K28" s="8">
        <v>21.9</v>
      </c>
      <c r="L28" s="8">
        <v>20.8</v>
      </c>
      <c r="M28" s="8">
        <v>11.909247136490903</v>
      </c>
      <c r="N28" s="8">
        <v>11.857658748053968</v>
      </c>
    </row>
    <row r="29" spans="1:14" x14ac:dyDescent="0.25">
      <c r="A29" s="6" t="s">
        <v>1409</v>
      </c>
      <c r="B29" s="7" t="s">
        <v>15</v>
      </c>
      <c r="C29" s="7" t="s">
        <v>16</v>
      </c>
      <c r="D29" s="7" t="s">
        <v>1393</v>
      </c>
      <c r="E29" s="8">
        <v>8.1999999999999993</v>
      </c>
      <c r="F29" s="8">
        <v>8.8000000000000007</v>
      </c>
      <c r="G29" s="8">
        <v>-6.7</v>
      </c>
      <c r="H29" s="8">
        <v>19</v>
      </c>
      <c r="I29" s="8">
        <v>7.7</v>
      </c>
      <c r="J29" s="8">
        <v>10</v>
      </c>
      <c r="K29" s="8">
        <v>7.5</v>
      </c>
      <c r="L29" s="8">
        <v>6.7</v>
      </c>
      <c r="M29" s="8">
        <v>7.4359267817587789</v>
      </c>
      <c r="N29" s="8">
        <v>7.3514252952520849</v>
      </c>
    </row>
    <row r="30" spans="1:14" x14ac:dyDescent="0.25">
      <c r="A30" s="6" t="s">
        <v>17</v>
      </c>
      <c r="B30" s="7"/>
      <c r="C30" s="7"/>
      <c r="D30" s="7"/>
      <c r="E30" s="8"/>
      <c r="F30" s="8"/>
      <c r="G30" s="8"/>
      <c r="H30" s="8"/>
      <c r="I30" s="8"/>
      <c r="J30" s="8"/>
      <c r="K30" s="8"/>
      <c r="L30" s="8"/>
      <c r="M30" s="8"/>
      <c r="N30" s="8"/>
    </row>
    <row r="31" spans="1:14" x14ac:dyDescent="0.25">
      <c r="A31" s="6" t="s">
        <v>73</v>
      </c>
      <c r="B31" s="7"/>
      <c r="C31" s="7"/>
      <c r="D31" s="7"/>
      <c r="E31" s="8"/>
      <c r="F31" s="8"/>
      <c r="G31" s="8"/>
      <c r="H31" s="8"/>
      <c r="I31" s="8"/>
      <c r="J31" s="8"/>
      <c r="K31" s="8"/>
      <c r="L31" s="8"/>
      <c r="M31" s="8"/>
      <c r="N31" s="8"/>
    </row>
    <row r="32" spans="1:14" x14ac:dyDescent="0.25">
      <c r="A32" s="6" t="s">
        <v>1408</v>
      </c>
      <c r="B32" s="7"/>
      <c r="C32" s="7"/>
      <c r="D32" s="7"/>
      <c r="E32" s="8"/>
      <c r="F32" s="8"/>
      <c r="G32" s="8"/>
      <c r="H32" s="8"/>
      <c r="I32" s="8"/>
      <c r="J32" s="8"/>
      <c r="K32" s="8"/>
      <c r="L32" s="8"/>
      <c r="M32" s="8"/>
      <c r="N32" s="8"/>
    </row>
    <row r="33" spans="1:14" x14ac:dyDescent="0.25">
      <c r="A33" s="6" t="s">
        <v>19</v>
      </c>
      <c r="B33" s="7" t="s">
        <v>20</v>
      </c>
      <c r="C33" s="7" t="s">
        <v>21</v>
      </c>
      <c r="D33" s="7" t="s">
        <v>1407</v>
      </c>
      <c r="E33" s="8">
        <v>9824</v>
      </c>
      <c r="F33" s="8">
        <v>10654</v>
      </c>
      <c r="G33" s="8">
        <v>9694</v>
      </c>
      <c r="H33" s="8">
        <v>11875</v>
      </c>
      <c r="I33" s="8">
        <v>12741</v>
      </c>
      <c r="J33" s="8">
        <v>14241</v>
      </c>
      <c r="K33" s="8">
        <v>16747</v>
      </c>
      <c r="L33" s="8">
        <v>20075</v>
      </c>
      <c r="M33" s="8">
        <v>22235.674070180459</v>
      </c>
      <c r="N33" s="8">
        <v>24545.802214790419</v>
      </c>
    </row>
    <row r="34" spans="1:14" x14ac:dyDescent="0.25">
      <c r="A34" s="6" t="s">
        <v>1406</v>
      </c>
      <c r="B34" s="7" t="s">
        <v>20</v>
      </c>
      <c r="C34" s="7" t="s">
        <v>21</v>
      </c>
      <c r="D34" s="7" t="s">
        <v>1393</v>
      </c>
      <c r="E34" s="8">
        <v>3006</v>
      </c>
      <c r="F34" s="8">
        <v>3307</v>
      </c>
      <c r="G34" s="8">
        <v>3066</v>
      </c>
      <c r="H34" s="8">
        <v>4633</v>
      </c>
      <c r="I34" s="8">
        <v>4911</v>
      </c>
      <c r="J34" s="8">
        <v>5422</v>
      </c>
      <c r="K34" s="8">
        <v>5993</v>
      </c>
      <c r="L34" s="8">
        <v>6825</v>
      </c>
      <c r="M34" s="8">
        <v>7385.1978919812263</v>
      </c>
      <c r="N34" s="8">
        <v>7963.1351656886627</v>
      </c>
    </row>
    <row r="35" spans="1:14" x14ac:dyDescent="0.25">
      <c r="A35" s="6" t="s">
        <v>1405</v>
      </c>
      <c r="B35" s="7" t="s">
        <v>15</v>
      </c>
      <c r="C35" s="7" t="s">
        <v>16</v>
      </c>
      <c r="D35" s="7" t="s">
        <v>1393</v>
      </c>
      <c r="E35" s="8">
        <v>8.1999999999999993</v>
      </c>
      <c r="F35" s="8">
        <v>8.8000000000000007</v>
      </c>
      <c r="G35" s="8">
        <v>-6.7</v>
      </c>
      <c r="H35" s="8">
        <v>19</v>
      </c>
      <c r="I35" s="8">
        <v>7.7</v>
      </c>
      <c r="J35" s="8">
        <v>10</v>
      </c>
      <c r="K35" s="8">
        <v>7.5</v>
      </c>
      <c r="L35" s="8">
        <v>6.7</v>
      </c>
      <c r="M35" s="8">
        <v>7.4359267817587789</v>
      </c>
      <c r="N35" s="8">
        <v>7.3514252952520849</v>
      </c>
    </row>
    <row r="36" spans="1:14" x14ac:dyDescent="0.25">
      <c r="A36" s="6" t="s">
        <v>38</v>
      </c>
      <c r="B36" s="7" t="s">
        <v>20</v>
      </c>
      <c r="C36" s="7" t="s">
        <v>21</v>
      </c>
      <c r="D36" s="7" t="s">
        <v>1392</v>
      </c>
      <c r="E36" s="8">
        <v>1761</v>
      </c>
      <c r="F36" s="8">
        <v>1894</v>
      </c>
      <c r="G36" s="8">
        <v>1780</v>
      </c>
      <c r="H36" s="8">
        <v>2141</v>
      </c>
      <c r="I36" s="8">
        <v>2221</v>
      </c>
      <c r="J36" s="8">
        <v>2481</v>
      </c>
      <c r="K36" s="8">
        <v>2687</v>
      </c>
      <c r="L36" s="8">
        <v>2917</v>
      </c>
      <c r="M36" s="8">
        <v>3135.6008021151642</v>
      </c>
      <c r="N36" s="8">
        <v>3375.0235367366377</v>
      </c>
    </row>
    <row r="37" spans="1:14" x14ac:dyDescent="0.25">
      <c r="A37" s="6" t="s">
        <v>1402</v>
      </c>
      <c r="B37" s="7" t="s">
        <v>15</v>
      </c>
      <c r="C37" s="7" t="s">
        <v>16</v>
      </c>
      <c r="D37" s="7" t="s">
        <v>1392</v>
      </c>
      <c r="E37" s="8">
        <v>8.3000000000000007</v>
      </c>
      <c r="F37" s="8">
        <v>9.1999999999999993</v>
      </c>
      <c r="G37" s="8">
        <v>-6.3</v>
      </c>
      <c r="H37" s="8">
        <v>18.899999999999999</v>
      </c>
      <c r="I37" s="8">
        <v>8.1</v>
      </c>
      <c r="J37" s="8">
        <v>11.1</v>
      </c>
      <c r="K37" s="8">
        <v>8</v>
      </c>
      <c r="L37" s="8">
        <v>7.7</v>
      </c>
      <c r="M37" s="8">
        <v>6.3128770962692728</v>
      </c>
      <c r="N37" s="8">
        <v>7.5422354894374717</v>
      </c>
    </row>
    <row r="38" spans="1:14" x14ac:dyDescent="0.25">
      <c r="A38" s="6" t="s">
        <v>1404</v>
      </c>
      <c r="B38" s="7" t="s">
        <v>20</v>
      </c>
      <c r="C38" s="7" t="s">
        <v>21</v>
      </c>
      <c r="D38" s="7" t="s">
        <v>1391</v>
      </c>
      <c r="E38" s="8">
        <v>1245</v>
      </c>
      <c r="F38" s="8">
        <v>1413</v>
      </c>
      <c r="G38" s="8">
        <v>1286</v>
      </c>
      <c r="H38" s="8">
        <v>1583</v>
      </c>
      <c r="I38" s="8">
        <v>1773</v>
      </c>
      <c r="J38" s="8">
        <v>1964</v>
      </c>
      <c r="K38" s="8">
        <v>2200</v>
      </c>
      <c r="L38" s="8">
        <v>2709</v>
      </c>
      <c r="M38" s="8">
        <v>2921.4252369299702</v>
      </c>
      <c r="N38" s="8">
        <v>3144.4124356384827</v>
      </c>
    </row>
    <row r="39" spans="1:14" x14ac:dyDescent="0.25">
      <c r="A39" s="6" t="s">
        <v>1402</v>
      </c>
      <c r="B39" s="7" t="s">
        <v>15</v>
      </c>
      <c r="C39" s="7" t="s">
        <v>16</v>
      </c>
      <c r="D39" s="7" t="s">
        <v>1391</v>
      </c>
      <c r="E39" s="8">
        <v>8.1</v>
      </c>
      <c r="F39" s="8">
        <v>8.4</v>
      </c>
      <c r="G39" s="8">
        <v>-7.3</v>
      </c>
      <c r="H39" s="8">
        <v>19.2</v>
      </c>
      <c r="I39" s="8">
        <v>14.9</v>
      </c>
      <c r="J39" s="8">
        <v>11.1</v>
      </c>
      <c r="K39" s="8">
        <v>9.3000000000000007</v>
      </c>
      <c r="L39" s="8">
        <v>4.7</v>
      </c>
      <c r="M39" s="8">
        <v>6.9297166081571415</v>
      </c>
      <c r="N39" s="8">
        <v>6.9144727977684539</v>
      </c>
    </row>
    <row r="40" spans="1:14" x14ac:dyDescent="0.25">
      <c r="A40" s="6" t="s">
        <v>1160</v>
      </c>
      <c r="B40" s="7" t="s">
        <v>20</v>
      </c>
      <c r="C40" s="7" t="s">
        <v>21</v>
      </c>
      <c r="D40" s="7" t="s">
        <v>1390</v>
      </c>
      <c r="E40" s="8">
        <v>779</v>
      </c>
      <c r="F40" s="8">
        <v>873</v>
      </c>
      <c r="G40" s="8">
        <v>761</v>
      </c>
      <c r="H40" s="8">
        <v>909</v>
      </c>
      <c r="I40" s="8">
        <v>917</v>
      </c>
      <c r="J40" s="8">
        <v>976</v>
      </c>
      <c r="K40" s="8">
        <v>1106</v>
      </c>
      <c r="L40" s="8">
        <v>1199</v>
      </c>
      <c r="M40" s="8">
        <v>1317.1291558912042</v>
      </c>
      <c r="N40" s="8">
        <v>1423.4383780940959</v>
      </c>
    </row>
    <row r="41" spans="1:14" x14ac:dyDescent="0.25">
      <c r="A41" s="6" t="s">
        <v>1402</v>
      </c>
      <c r="B41" s="7" t="s">
        <v>15</v>
      </c>
      <c r="C41" s="7" t="s">
        <v>16</v>
      </c>
      <c r="D41" s="7" t="s">
        <v>1390</v>
      </c>
      <c r="E41" s="8">
        <v>22.5</v>
      </c>
      <c r="F41" s="8">
        <v>6.8</v>
      </c>
      <c r="G41" s="8">
        <v>-15.7</v>
      </c>
      <c r="H41" s="8">
        <v>18.600000000000001</v>
      </c>
      <c r="I41" s="8">
        <v>3.5</v>
      </c>
      <c r="J41" s="8">
        <v>5.3</v>
      </c>
      <c r="K41" s="8">
        <v>2.7</v>
      </c>
      <c r="L41" s="8">
        <v>8</v>
      </c>
      <c r="M41" s="8">
        <v>7.9376589844746617</v>
      </c>
      <c r="N41" s="8">
        <v>7.2902967414444113</v>
      </c>
    </row>
    <row r="42" spans="1:14" x14ac:dyDescent="0.25">
      <c r="A42" s="6" t="s">
        <v>1403</v>
      </c>
      <c r="B42" s="7" t="s">
        <v>20</v>
      </c>
      <c r="C42" s="7" t="s">
        <v>21</v>
      </c>
      <c r="D42" s="7" t="s">
        <v>1388</v>
      </c>
      <c r="E42" s="8">
        <v>3777</v>
      </c>
      <c r="F42" s="8">
        <v>4207</v>
      </c>
      <c r="G42" s="8">
        <v>3876</v>
      </c>
      <c r="H42" s="8">
        <v>7242</v>
      </c>
      <c r="I42" s="8">
        <v>7830</v>
      </c>
      <c r="J42" s="8">
        <v>8819</v>
      </c>
      <c r="K42" s="8">
        <v>10754</v>
      </c>
      <c r="L42" s="8">
        <v>13250</v>
      </c>
      <c r="M42" s="8">
        <v>14860.226798368552</v>
      </c>
      <c r="N42" s="8">
        <v>16587.256026652045</v>
      </c>
    </row>
    <row r="43" spans="1:14" x14ac:dyDescent="0.25">
      <c r="A43" s="6" t="s">
        <v>1402</v>
      </c>
      <c r="B43" s="7" t="s">
        <v>15</v>
      </c>
      <c r="C43" s="7" t="s">
        <v>16</v>
      </c>
      <c r="D43" s="7" t="s">
        <v>1388</v>
      </c>
      <c r="E43" s="8">
        <v>6</v>
      </c>
      <c r="F43" s="8">
        <v>9.3000000000000007</v>
      </c>
      <c r="G43" s="8">
        <v>-13.1</v>
      </c>
      <c r="H43" s="8">
        <v>23.9</v>
      </c>
      <c r="I43" s="8">
        <v>10.1</v>
      </c>
      <c r="J43" s="8">
        <v>12.9</v>
      </c>
      <c r="K43" s="8">
        <v>21.9</v>
      </c>
      <c r="L43" s="8">
        <v>20.8</v>
      </c>
      <c r="M43" s="8">
        <v>11.909247136490903</v>
      </c>
      <c r="N43" s="8">
        <v>11.857658748053968</v>
      </c>
    </row>
    <row r="44" spans="1:14" x14ac:dyDescent="0.25">
      <c r="A44" s="6" t="s">
        <v>1401</v>
      </c>
      <c r="B44" s="7" t="s">
        <v>20</v>
      </c>
      <c r="C44" s="7" t="s">
        <v>21</v>
      </c>
      <c r="D44" s="7" t="s">
        <v>1386</v>
      </c>
      <c r="E44" s="8" t="s">
        <v>1483</v>
      </c>
      <c r="F44" s="8" t="s">
        <v>1483</v>
      </c>
      <c r="G44" s="8" t="s">
        <v>1483</v>
      </c>
      <c r="H44" s="8" t="s">
        <v>1483</v>
      </c>
      <c r="I44" s="8" t="s">
        <v>1483</v>
      </c>
      <c r="J44" s="8">
        <v>3791</v>
      </c>
      <c r="K44" s="8">
        <v>4199</v>
      </c>
      <c r="L44" s="8">
        <v>4639</v>
      </c>
      <c r="M44" s="8">
        <v>5035.7320572654007</v>
      </c>
      <c r="N44" s="8">
        <v>5441.1199182809733</v>
      </c>
    </row>
    <row r="45" spans="1:14" x14ac:dyDescent="0.25">
      <c r="A45" s="6" t="s">
        <v>1396</v>
      </c>
      <c r="B45" s="7" t="s">
        <v>15</v>
      </c>
      <c r="C45" s="7" t="s">
        <v>16</v>
      </c>
      <c r="D45" s="7" t="s">
        <v>1386</v>
      </c>
      <c r="E45" s="8" t="s">
        <v>1483</v>
      </c>
      <c r="F45" s="8" t="s">
        <v>1483</v>
      </c>
      <c r="G45" s="8" t="s">
        <v>1483</v>
      </c>
      <c r="H45" s="8" t="s">
        <v>1483</v>
      </c>
      <c r="I45" s="8" t="s">
        <v>1483</v>
      </c>
      <c r="J45" s="8" t="s">
        <v>1483</v>
      </c>
      <c r="K45" s="8" t="s">
        <v>1483</v>
      </c>
      <c r="L45" s="8">
        <v>9.9</v>
      </c>
      <c r="M45" s="8">
        <v>6.4</v>
      </c>
      <c r="N45" s="8">
        <v>5.9</v>
      </c>
    </row>
    <row r="46" spans="1:14" x14ac:dyDescent="0.25">
      <c r="A46" s="6" t="s">
        <v>1400</v>
      </c>
      <c r="B46" s="7" t="s">
        <v>20</v>
      </c>
      <c r="C46" s="7" t="s">
        <v>21</v>
      </c>
      <c r="D46" s="7" t="s">
        <v>1384</v>
      </c>
      <c r="E46" s="8" t="s">
        <v>1483</v>
      </c>
      <c r="F46" s="8" t="s">
        <v>1483</v>
      </c>
      <c r="G46" s="8" t="s">
        <v>1483</v>
      </c>
      <c r="H46" s="8">
        <v>829</v>
      </c>
      <c r="I46" s="8">
        <v>1018</v>
      </c>
      <c r="J46" s="8">
        <v>1274</v>
      </c>
      <c r="K46" s="8">
        <v>1516</v>
      </c>
      <c r="L46" s="8">
        <v>1958</v>
      </c>
      <c r="M46" s="8">
        <v>2379.2217672134848</v>
      </c>
      <c r="N46" s="8">
        <v>2876.0039096167015</v>
      </c>
    </row>
    <row r="47" spans="1:14" x14ac:dyDescent="0.25">
      <c r="A47" s="6" t="s">
        <v>1396</v>
      </c>
      <c r="B47" s="7" t="s">
        <v>15</v>
      </c>
      <c r="C47" s="7" t="s">
        <v>16</v>
      </c>
      <c r="D47" s="7" t="s">
        <v>1384</v>
      </c>
      <c r="E47" s="8" t="s">
        <v>1483</v>
      </c>
      <c r="F47" s="8" t="s">
        <v>1483</v>
      </c>
      <c r="G47" s="8" t="s">
        <v>1483</v>
      </c>
      <c r="H47" s="8" t="s">
        <v>1483</v>
      </c>
      <c r="I47" s="8">
        <v>24</v>
      </c>
      <c r="J47" s="8">
        <v>25.4</v>
      </c>
      <c r="K47" s="8">
        <v>19.2</v>
      </c>
      <c r="L47" s="8">
        <v>28.9</v>
      </c>
      <c r="M47" s="8">
        <v>21.59494756342243</v>
      </c>
      <c r="N47" s="8">
        <v>21.080414204461071</v>
      </c>
    </row>
    <row r="48" spans="1:14" x14ac:dyDescent="0.25">
      <c r="A48" s="6" t="s">
        <v>1399</v>
      </c>
      <c r="B48" s="7" t="s">
        <v>20</v>
      </c>
      <c r="C48" s="7" t="s">
        <v>21</v>
      </c>
      <c r="D48" s="7" t="s">
        <v>1383</v>
      </c>
      <c r="E48" s="8">
        <v>311</v>
      </c>
      <c r="F48" s="8">
        <v>328</v>
      </c>
      <c r="G48" s="8">
        <v>287</v>
      </c>
      <c r="H48" s="8">
        <v>365</v>
      </c>
      <c r="I48" s="8">
        <v>585</v>
      </c>
      <c r="J48" s="8">
        <v>800</v>
      </c>
      <c r="K48" s="8">
        <v>1904</v>
      </c>
      <c r="L48" s="8">
        <v>3325</v>
      </c>
      <c r="M48" s="8">
        <v>3932.2977154692908</v>
      </c>
      <c r="N48" s="8">
        <v>4589.3875513702924</v>
      </c>
    </row>
    <row r="49" spans="1:14" x14ac:dyDescent="0.25">
      <c r="A49" s="6" t="s">
        <v>1396</v>
      </c>
      <c r="B49" s="7" t="s">
        <v>15</v>
      </c>
      <c r="C49" s="7" t="s">
        <v>16</v>
      </c>
      <c r="D49" s="7" t="s">
        <v>1383</v>
      </c>
      <c r="E49" s="8">
        <v>10.9</v>
      </c>
      <c r="F49" s="8">
        <v>7.5</v>
      </c>
      <c r="G49" s="8">
        <v>-13.5</v>
      </c>
      <c r="H49" s="8">
        <v>23.5</v>
      </c>
      <c r="I49" s="8">
        <v>68.900000000000006</v>
      </c>
      <c r="J49" s="8">
        <v>32.700000000000003</v>
      </c>
      <c r="K49" s="8">
        <v>139.5</v>
      </c>
      <c r="L49" s="8">
        <v>73.3</v>
      </c>
      <c r="M49" s="8">
        <v>17.457074009436294</v>
      </c>
      <c r="N49" s="8">
        <v>16.238643917195699</v>
      </c>
    </row>
    <row r="50" spans="1:14" x14ac:dyDescent="0.25">
      <c r="A50" s="6" t="s">
        <v>1398</v>
      </c>
      <c r="B50" s="7" t="s">
        <v>20</v>
      </c>
      <c r="C50" s="7" t="s">
        <v>21</v>
      </c>
      <c r="D50" s="7" t="s">
        <v>1381</v>
      </c>
      <c r="E50" s="8">
        <v>1951</v>
      </c>
      <c r="F50" s="8">
        <v>1939</v>
      </c>
      <c r="G50" s="8">
        <v>1704</v>
      </c>
      <c r="H50" s="8">
        <v>2019</v>
      </c>
      <c r="I50" s="8">
        <v>2100</v>
      </c>
      <c r="J50" s="8">
        <v>2218</v>
      </c>
      <c r="K50" s="8">
        <v>2279</v>
      </c>
      <c r="L50" s="8">
        <v>2332</v>
      </c>
      <c r="M50" s="8">
        <v>2399.3688620724593</v>
      </c>
      <c r="N50" s="8">
        <v>2467.434506555393</v>
      </c>
    </row>
    <row r="51" spans="1:14" x14ac:dyDescent="0.25">
      <c r="A51" s="6" t="s">
        <v>1396</v>
      </c>
      <c r="B51" s="7" t="s">
        <v>15</v>
      </c>
      <c r="C51" s="7" t="s">
        <v>16</v>
      </c>
      <c r="D51" s="7" t="s">
        <v>1381</v>
      </c>
      <c r="E51" s="8">
        <v>2.1</v>
      </c>
      <c r="F51" s="8">
        <v>1.2</v>
      </c>
      <c r="G51" s="8">
        <v>-12.4</v>
      </c>
      <c r="H51" s="8">
        <v>7.7</v>
      </c>
      <c r="I51" s="8">
        <v>8.3000000000000007</v>
      </c>
      <c r="J51" s="8">
        <v>5.9</v>
      </c>
      <c r="K51" s="8">
        <v>3.2</v>
      </c>
      <c r="L51" s="8">
        <v>1.4</v>
      </c>
      <c r="M51" s="8">
        <v>2.653926543244109</v>
      </c>
      <c r="N51" s="8">
        <v>3.1422995832573961</v>
      </c>
    </row>
    <row r="52" spans="1:14" x14ac:dyDescent="0.25">
      <c r="A52" s="6" t="s">
        <v>1397</v>
      </c>
      <c r="B52" s="7" t="s">
        <v>20</v>
      </c>
      <c r="C52" s="7" t="s">
        <v>21</v>
      </c>
      <c r="D52" s="7" t="s">
        <v>1379</v>
      </c>
      <c r="E52" s="8" t="s">
        <v>1483</v>
      </c>
      <c r="F52" s="8" t="s">
        <v>1483</v>
      </c>
      <c r="G52" s="8" t="s">
        <v>1483</v>
      </c>
      <c r="H52" s="8" t="s">
        <v>1483</v>
      </c>
      <c r="I52" s="8" t="s">
        <v>1483</v>
      </c>
      <c r="J52" s="8">
        <v>736</v>
      </c>
      <c r="K52" s="8">
        <v>856</v>
      </c>
      <c r="L52" s="8">
        <v>996</v>
      </c>
      <c r="M52" s="8">
        <v>1113.4770886719348</v>
      </c>
      <c r="N52" s="8">
        <v>1226.8617587078363</v>
      </c>
    </row>
    <row r="53" spans="1:14" x14ac:dyDescent="0.25">
      <c r="A53" s="6" t="s">
        <v>1396</v>
      </c>
      <c r="B53" s="7" t="s">
        <v>15</v>
      </c>
      <c r="C53" s="7" t="s">
        <v>16</v>
      </c>
      <c r="D53" s="7" t="s">
        <v>1379</v>
      </c>
      <c r="E53" s="8" t="s">
        <v>1483</v>
      </c>
      <c r="F53" s="8" t="s">
        <v>1483</v>
      </c>
      <c r="G53" s="8" t="s">
        <v>1483</v>
      </c>
      <c r="H53" s="8" t="s">
        <v>1483</v>
      </c>
      <c r="I53" s="8" t="s">
        <v>1483</v>
      </c>
      <c r="J53" s="8" t="s">
        <v>1483</v>
      </c>
      <c r="K53" s="8" t="s">
        <v>1483</v>
      </c>
      <c r="L53" s="8">
        <v>15.9</v>
      </c>
      <c r="M53" s="8">
        <v>8.032095904928374</v>
      </c>
      <c r="N53" s="8">
        <v>8.7988098104558823</v>
      </c>
    </row>
    <row r="54" spans="1:14" x14ac:dyDescent="0.25">
      <c r="A54" s="6" t="s">
        <v>17</v>
      </c>
      <c r="B54" s="7"/>
      <c r="C54" s="7"/>
      <c r="D54" s="7"/>
      <c r="E54" s="8"/>
      <c r="F54" s="8"/>
      <c r="G54" s="8"/>
      <c r="H54" s="8"/>
      <c r="I54" s="8"/>
      <c r="J54" s="8"/>
      <c r="K54" s="8"/>
      <c r="L54" s="8"/>
      <c r="M54" s="8"/>
      <c r="N54" s="8"/>
    </row>
    <row r="55" spans="1:14" x14ac:dyDescent="0.25">
      <c r="A55" s="6" t="s">
        <v>1395</v>
      </c>
      <c r="B55" s="7"/>
      <c r="C55" s="7"/>
      <c r="D55" s="7"/>
      <c r="E55" s="8"/>
      <c r="F55" s="8"/>
      <c r="G55" s="8"/>
      <c r="H55" s="8"/>
      <c r="I55" s="8"/>
      <c r="J55" s="8"/>
      <c r="K55" s="8"/>
      <c r="L55" s="8"/>
      <c r="M55" s="8"/>
      <c r="N55" s="8"/>
    </row>
    <row r="56" spans="1:14" x14ac:dyDescent="0.25">
      <c r="A56" s="6" t="s">
        <v>1394</v>
      </c>
      <c r="B56" s="7" t="s">
        <v>75</v>
      </c>
      <c r="C56" s="7" t="s">
        <v>76</v>
      </c>
      <c r="D56" s="7" t="s">
        <v>1393</v>
      </c>
      <c r="E56" s="8">
        <v>9.3000000000000007</v>
      </c>
      <c r="F56" s="8">
        <v>11.5</v>
      </c>
      <c r="G56" s="8">
        <v>-7.5</v>
      </c>
      <c r="H56" s="8">
        <v>20.2</v>
      </c>
      <c r="I56" s="8">
        <v>9.5</v>
      </c>
      <c r="J56" s="8">
        <v>10.8</v>
      </c>
      <c r="K56" s="8">
        <v>11.1</v>
      </c>
      <c r="L56" s="8">
        <v>13.3</v>
      </c>
      <c r="M56" s="8">
        <v>7.9263008781178188</v>
      </c>
      <c r="N56" s="8">
        <v>7.6476211457752532</v>
      </c>
    </row>
    <row r="57" spans="1:14" x14ac:dyDescent="0.25">
      <c r="A57" s="6" t="s">
        <v>104</v>
      </c>
      <c r="B57" s="7" t="s">
        <v>75</v>
      </c>
      <c r="C57" s="7" t="s">
        <v>76</v>
      </c>
      <c r="D57" s="7" t="s">
        <v>1392</v>
      </c>
      <c r="E57" s="8">
        <v>8.3000000000000007</v>
      </c>
      <c r="F57" s="8">
        <v>9.1999999999999993</v>
      </c>
      <c r="G57" s="8">
        <v>-6.3</v>
      </c>
      <c r="H57" s="8">
        <v>18.899999999999999</v>
      </c>
      <c r="I57" s="8">
        <v>8.1</v>
      </c>
      <c r="J57" s="8">
        <v>12.3</v>
      </c>
      <c r="K57" s="8">
        <v>8.9</v>
      </c>
      <c r="L57" s="8">
        <v>7.8</v>
      </c>
      <c r="M57" s="8">
        <v>7.0326901093512104</v>
      </c>
      <c r="N57" s="8">
        <v>7.6247345747658084</v>
      </c>
    </row>
    <row r="58" spans="1:14" x14ac:dyDescent="0.25">
      <c r="A58" s="6" t="s">
        <v>1356</v>
      </c>
      <c r="B58" s="7" t="s">
        <v>75</v>
      </c>
      <c r="C58" s="7" t="s">
        <v>76</v>
      </c>
      <c r="D58" s="7" t="s">
        <v>1391</v>
      </c>
      <c r="E58" s="8">
        <v>10.6</v>
      </c>
      <c r="F58" s="8">
        <v>14.7</v>
      </c>
      <c r="G58" s="8">
        <v>-9</v>
      </c>
      <c r="H58" s="8">
        <v>22.1</v>
      </c>
      <c r="I58" s="8">
        <v>14.9</v>
      </c>
      <c r="J58" s="8">
        <v>11.1</v>
      </c>
      <c r="K58" s="8">
        <v>12.5</v>
      </c>
      <c r="L58" s="8">
        <v>22.7</v>
      </c>
      <c r="M58" s="8">
        <v>7.5485286359233941</v>
      </c>
      <c r="N58" s="8">
        <v>7.2290331602549367</v>
      </c>
    </row>
    <row r="59" spans="1:14" x14ac:dyDescent="0.25">
      <c r="A59" s="6" t="s">
        <v>1235</v>
      </c>
      <c r="B59" s="7" t="s">
        <v>75</v>
      </c>
      <c r="C59" s="7" t="s">
        <v>76</v>
      </c>
      <c r="D59" s="7" t="s">
        <v>1390</v>
      </c>
      <c r="E59" s="8">
        <v>22.5</v>
      </c>
      <c r="F59" s="8">
        <v>13.1</v>
      </c>
      <c r="G59" s="8">
        <v>-13</v>
      </c>
      <c r="H59" s="8">
        <v>18.600000000000001</v>
      </c>
      <c r="I59" s="8">
        <v>3.5</v>
      </c>
      <c r="J59" s="8">
        <v>6.7</v>
      </c>
      <c r="K59" s="8">
        <v>13.7</v>
      </c>
      <c r="L59" s="8">
        <v>8</v>
      </c>
      <c r="M59" s="8">
        <v>10.043533349334291</v>
      </c>
      <c r="N59" s="8">
        <v>7.6011239627966001</v>
      </c>
    </row>
    <row r="60" spans="1:14" x14ac:dyDescent="0.25">
      <c r="A60" s="6" t="s">
        <v>1389</v>
      </c>
      <c r="B60" s="7" t="s">
        <v>75</v>
      </c>
      <c r="C60" s="7" t="s">
        <v>76</v>
      </c>
      <c r="D60" s="7" t="s">
        <v>1388</v>
      </c>
      <c r="E60" s="8">
        <v>7.4</v>
      </c>
      <c r="F60" s="8">
        <v>13.5</v>
      </c>
      <c r="G60" s="8">
        <v>-7.9</v>
      </c>
      <c r="H60" s="8">
        <v>23.9</v>
      </c>
      <c r="I60" s="8">
        <v>13.1</v>
      </c>
      <c r="J60" s="8">
        <v>13.7</v>
      </c>
      <c r="K60" s="8">
        <v>23</v>
      </c>
      <c r="L60" s="8">
        <v>22.5</v>
      </c>
      <c r="M60" s="8">
        <v>11.893901216088077</v>
      </c>
      <c r="N60" s="8">
        <v>11.753717907829994</v>
      </c>
    </row>
    <row r="61" spans="1:14" x14ac:dyDescent="0.25">
      <c r="A61" s="6" t="s">
        <v>1387</v>
      </c>
      <c r="B61" s="7" t="s">
        <v>75</v>
      </c>
      <c r="C61" s="7" t="s">
        <v>76</v>
      </c>
      <c r="D61" s="7" t="s">
        <v>1386</v>
      </c>
      <c r="E61" s="8" t="s">
        <v>1483</v>
      </c>
      <c r="F61" s="8" t="s">
        <v>1483</v>
      </c>
      <c r="G61" s="8" t="s">
        <v>1483</v>
      </c>
      <c r="H61" s="8" t="s">
        <v>1483</v>
      </c>
      <c r="I61" s="8" t="s">
        <v>1483</v>
      </c>
      <c r="J61" s="8" t="s">
        <v>1483</v>
      </c>
      <c r="K61" s="8" t="s">
        <v>1483</v>
      </c>
      <c r="L61" s="8">
        <v>9.9</v>
      </c>
      <c r="M61" s="8">
        <v>7.8093807200601839</v>
      </c>
      <c r="N61" s="8">
        <v>7.9929765755783775</v>
      </c>
    </row>
    <row r="62" spans="1:14" x14ac:dyDescent="0.25">
      <c r="A62" s="6" t="s">
        <v>1385</v>
      </c>
      <c r="B62" s="7" t="s">
        <v>75</v>
      </c>
      <c r="C62" s="7" t="s">
        <v>76</v>
      </c>
      <c r="D62" s="7" t="s">
        <v>1384</v>
      </c>
      <c r="E62" s="8" t="s">
        <v>1483</v>
      </c>
      <c r="F62" s="8" t="s">
        <v>1483</v>
      </c>
      <c r="G62" s="8" t="s">
        <v>1483</v>
      </c>
      <c r="H62" s="8" t="s">
        <v>1483</v>
      </c>
      <c r="I62" s="8">
        <v>24</v>
      </c>
      <c r="J62" s="8">
        <v>25.4</v>
      </c>
      <c r="K62" s="8">
        <v>19.2</v>
      </c>
      <c r="L62" s="8">
        <v>28.9</v>
      </c>
      <c r="M62" s="8">
        <v>21.755241526751909</v>
      </c>
      <c r="N62" s="8">
        <v>21.225639618968426</v>
      </c>
    </row>
    <row r="63" spans="1:14" x14ac:dyDescent="0.25">
      <c r="A63" s="6" t="s">
        <v>1167</v>
      </c>
      <c r="B63" s="7" t="s">
        <v>75</v>
      </c>
      <c r="C63" s="7" t="s">
        <v>76</v>
      </c>
      <c r="D63" s="7" t="s">
        <v>1383</v>
      </c>
      <c r="E63" s="8">
        <v>10.9</v>
      </c>
      <c r="F63" s="8">
        <v>7.5</v>
      </c>
      <c r="G63" s="8">
        <v>-13.5</v>
      </c>
      <c r="H63" s="8">
        <v>25.8</v>
      </c>
      <c r="I63" s="8">
        <v>68.900000000000006</v>
      </c>
      <c r="J63" s="8">
        <v>37.299999999999997</v>
      </c>
      <c r="K63" s="8">
        <v>139.5</v>
      </c>
      <c r="L63" s="8">
        <v>73.3</v>
      </c>
      <c r="M63" s="8">
        <v>16.60565353102745</v>
      </c>
      <c r="N63" s="8">
        <v>14.845590089011186</v>
      </c>
    </row>
    <row r="64" spans="1:14" x14ac:dyDescent="0.25">
      <c r="A64" s="6" t="s">
        <v>1382</v>
      </c>
      <c r="B64" s="7" t="s">
        <v>75</v>
      </c>
      <c r="C64" s="7" t="s">
        <v>76</v>
      </c>
      <c r="D64" s="7" t="s">
        <v>1381</v>
      </c>
      <c r="E64" s="8">
        <v>2.1</v>
      </c>
      <c r="F64" s="8">
        <v>1.2</v>
      </c>
      <c r="G64" s="8">
        <v>-12.4</v>
      </c>
      <c r="H64" s="8">
        <v>17.100000000000001</v>
      </c>
      <c r="I64" s="8">
        <v>8.3000000000000007</v>
      </c>
      <c r="J64" s="8">
        <v>5.9</v>
      </c>
      <c r="K64" s="8">
        <v>3.2</v>
      </c>
      <c r="L64" s="8">
        <v>1.4</v>
      </c>
      <c r="M64" s="8">
        <v>2.7738167838854553</v>
      </c>
      <c r="N64" s="8">
        <v>2.9344057398417016</v>
      </c>
    </row>
    <row r="65" spans="1:14" x14ac:dyDescent="0.25">
      <c r="A65" s="6" t="s">
        <v>1380</v>
      </c>
      <c r="B65" s="7" t="s">
        <v>75</v>
      </c>
      <c r="C65" s="7" t="s">
        <v>76</v>
      </c>
      <c r="D65" s="7" t="s">
        <v>1379</v>
      </c>
      <c r="E65" s="8" t="s">
        <v>1483</v>
      </c>
      <c r="F65" s="8" t="s">
        <v>1483</v>
      </c>
      <c r="G65" s="8" t="s">
        <v>1483</v>
      </c>
      <c r="H65" s="8" t="s">
        <v>1483</v>
      </c>
      <c r="I65" s="8" t="s">
        <v>1483</v>
      </c>
      <c r="J65" s="8" t="s">
        <v>1483</v>
      </c>
      <c r="K65" s="8" t="s">
        <v>1483</v>
      </c>
      <c r="L65" s="8">
        <v>15.9</v>
      </c>
      <c r="M65" s="8">
        <v>13.012215826275172</v>
      </c>
      <c r="N65" s="8">
        <v>10.024147009234424</v>
      </c>
    </row>
    <row r="66" spans="1:14" x14ac:dyDescent="0.25">
      <c r="A66" s="6" t="s">
        <v>17</v>
      </c>
      <c r="B66" s="7"/>
      <c r="C66" s="7"/>
      <c r="D66" s="7"/>
      <c r="E66" s="8"/>
      <c r="F66" s="8"/>
      <c r="G66" s="8"/>
      <c r="H66" s="8"/>
      <c r="I66" s="8"/>
      <c r="J66" s="8"/>
      <c r="K66" s="8"/>
      <c r="L66" s="8"/>
      <c r="M66" s="8"/>
      <c r="N66" s="8"/>
    </row>
    <row r="67" spans="1:14" x14ac:dyDescent="0.25">
      <c r="A67" s="6" t="s">
        <v>78</v>
      </c>
      <c r="B67" s="7"/>
      <c r="C67" s="7"/>
      <c r="D67" s="7"/>
      <c r="E67" s="8"/>
      <c r="F67" s="8"/>
      <c r="G67" s="8"/>
      <c r="H67" s="8"/>
      <c r="I67" s="8"/>
      <c r="J67" s="8"/>
      <c r="K67" s="8"/>
      <c r="L67" s="8"/>
      <c r="M67" s="8"/>
      <c r="N67" s="8"/>
    </row>
    <row r="68" spans="1:14" x14ac:dyDescent="0.25">
      <c r="A68" s="6" t="s">
        <v>1378</v>
      </c>
      <c r="B68" s="7" t="s">
        <v>20</v>
      </c>
      <c r="C68" s="7" t="s">
        <v>21</v>
      </c>
      <c r="D68" s="7" t="s">
        <v>1377</v>
      </c>
      <c r="E68" s="8">
        <v>3041</v>
      </c>
      <c r="F68" s="8">
        <v>3140</v>
      </c>
      <c r="G68" s="8">
        <v>2752</v>
      </c>
      <c r="H68" s="8">
        <v>3293</v>
      </c>
      <c r="I68" s="8" t="s">
        <v>1483</v>
      </c>
      <c r="J68" s="8" t="s">
        <v>1483</v>
      </c>
      <c r="K68" s="8" t="s">
        <v>1483</v>
      </c>
      <c r="L68" s="8" t="s">
        <v>1483</v>
      </c>
      <c r="M68" s="8" t="s">
        <v>1483</v>
      </c>
      <c r="N68" s="8" t="s">
        <v>1483</v>
      </c>
    </row>
    <row r="69" spans="1:14" x14ac:dyDescent="0.25">
      <c r="A69" s="6" t="s">
        <v>1376</v>
      </c>
      <c r="B69" s="7" t="s">
        <v>20</v>
      </c>
      <c r="C69" s="7" t="s">
        <v>21</v>
      </c>
      <c r="D69" s="7" t="s">
        <v>1375</v>
      </c>
      <c r="E69" s="8" t="s">
        <v>1483</v>
      </c>
      <c r="F69" s="8">
        <v>81</v>
      </c>
      <c r="G69" s="8">
        <v>219</v>
      </c>
      <c r="H69" s="8">
        <v>13</v>
      </c>
      <c r="I69" s="8" t="s">
        <v>1483</v>
      </c>
      <c r="J69" s="8" t="s">
        <v>1483</v>
      </c>
      <c r="K69" s="8" t="s">
        <v>1483</v>
      </c>
      <c r="L69" s="8" t="s">
        <v>1483</v>
      </c>
      <c r="M69" s="8">
        <v>0</v>
      </c>
      <c r="N69" s="8">
        <v>0</v>
      </c>
    </row>
    <row r="70" spans="1:14" x14ac:dyDescent="0.25">
      <c r="A70" s="6" t="s">
        <v>1374</v>
      </c>
      <c r="B70" s="7" t="s">
        <v>20</v>
      </c>
      <c r="C70" s="7" t="s">
        <v>21</v>
      </c>
      <c r="D70" s="7" t="s">
        <v>1373</v>
      </c>
      <c r="E70" s="8">
        <v>2590</v>
      </c>
      <c r="F70" s="8">
        <v>2815</v>
      </c>
      <c r="G70" s="8">
        <v>2298</v>
      </c>
      <c r="H70" s="8">
        <v>2209</v>
      </c>
      <c r="I70" s="8">
        <v>2229</v>
      </c>
      <c r="J70" s="8">
        <v>2417</v>
      </c>
      <c r="K70" s="8">
        <v>2644</v>
      </c>
      <c r="L70" s="8" t="s">
        <v>1483</v>
      </c>
      <c r="M70" s="8">
        <v>3357.3515517629294</v>
      </c>
      <c r="N70" s="8">
        <v>3621.800096602014</v>
      </c>
    </row>
    <row r="71" spans="1:14" x14ac:dyDescent="0.25">
      <c r="A71" s="6" t="s">
        <v>1369</v>
      </c>
      <c r="B71" s="7" t="s">
        <v>15</v>
      </c>
      <c r="C71" s="7" t="s">
        <v>16</v>
      </c>
      <c r="D71" s="7" t="s">
        <v>1373</v>
      </c>
      <c r="E71" s="8">
        <v>4.5</v>
      </c>
      <c r="F71" s="8">
        <v>10</v>
      </c>
      <c r="G71" s="8">
        <v>-18.2</v>
      </c>
      <c r="H71" s="8">
        <v>30.7</v>
      </c>
      <c r="I71" s="8">
        <v>7.5</v>
      </c>
      <c r="J71" s="8">
        <v>10.4</v>
      </c>
      <c r="K71" s="8">
        <v>11.4</v>
      </c>
      <c r="L71" s="8" t="s">
        <v>1483</v>
      </c>
      <c r="M71" s="8">
        <v>6.4377622052200367</v>
      </c>
      <c r="N71" s="8">
        <v>7.3316220297027392</v>
      </c>
    </row>
    <row r="72" spans="1:14" x14ac:dyDescent="0.25">
      <c r="A72" s="6" t="s">
        <v>1372</v>
      </c>
      <c r="B72" s="7" t="s">
        <v>20</v>
      </c>
      <c r="C72" s="7" t="s">
        <v>21</v>
      </c>
      <c r="D72" s="7" t="s">
        <v>1371</v>
      </c>
      <c r="E72" s="8" t="s">
        <v>1483</v>
      </c>
      <c r="F72" s="8" t="s">
        <v>1483</v>
      </c>
      <c r="G72" s="8" t="s">
        <v>1483</v>
      </c>
      <c r="H72" s="8">
        <v>5422</v>
      </c>
      <c r="I72" s="8">
        <v>5932</v>
      </c>
      <c r="J72" s="8">
        <v>6709</v>
      </c>
      <c r="K72" s="8">
        <v>8344</v>
      </c>
      <c r="L72" s="8">
        <v>13250</v>
      </c>
      <c r="M72" s="8">
        <v>12535.850083304003</v>
      </c>
      <c r="N72" s="8">
        <v>14092.169252208798</v>
      </c>
    </row>
    <row r="73" spans="1:14" x14ac:dyDescent="0.25">
      <c r="A73" s="6" t="s">
        <v>1369</v>
      </c>
      <c r="B73" s="7" t="s">
        <v>15</v>
      </c>
      <c r="C73" s="7" t="s">
        <v>16</v>
      </c>
      <c r="D73" s="7" t="s">
        <v>1371</v>
      </c>
      <c r="E73" s="8" t="s">
        <v>1483</v>
      </c>
      <c r="F73" s="8" t="s">
        <v>1483</v>
      </c>
      <c r="G73" s="8" t="s">
        <v>1483</v>
      </c>
      <c r="H73" s="8" t="s">
        <v>1483</v>
      </c>
      <c r="I73" s="8">
        <v>10.4</v>
      </c>
      <c r="J73" s="8">
        <v>13.6</v>
      </c>
      <c r="K73" s="8">
        <v>25.4</v>
      </c>
      <c r="L73" s="8" t="s">
        <v>1483</v>
      </c>
      <c r="M73" s="8">
        <v>15.472173828418855</v>
      </c>
      <c r="N73" s="8">
        <v>12.617252027050148</v>
      </c>
    </row>
    <row r="74" spans="1:14" x14ac:dyDescent="0.25">
      <c r="A74" s="6" t="s">
        <v>1370</v>
      </c>
      <c r="B74" s="7" t="s">
        <v>20</v>
      </c>
      <c r="C74" s="7" t="s">
        <v>21</v>
      </c>
      <c r="D74" s="7" t="s">
        <v>1368</v>
      </c>
      <c r="E74" s="8">
        <v>1187</v>
      </c>
      <c r="F74" s="8">
        <v>1392</v>
      </c>
      <c r="G74" s="8">
        <v>1577</v>
      </c>
      <c r="H74" s="8">
        <v>1820</v>
      </c>
      <c r="I74" s="8">
        <v>1898</v>
      </c>
      <c r="J74" s="8">
        <v>2110</v>
      </c>
      <c r="K74" s="8">
        <v>2410</v>
      </c>
      <c r="L74" s="8" t="s">
        <v>1483</v>
      </c>
      <c r="M74" s="8">
        <v>2738.5102665096038</v>
      </c>
      <c r="N74" s="8">
        <v>2982.7135038822398</v>
      </c>
    </row>
    <row r="75" spans="1:14" x14ac:dyDescent="0.25">
      <c r="A75" s="6" t="s">
        <v>1369</v>
      </c>
      <c r="B75" s="7" t="s">
        <v>15</v>
      </c>
      <c r="C75" s="7" t="s">
        <v>16</v>
      </c>
      <c r="D75" s="7" t="s">
        <v>1368</v>
      </c>
      <c r="E75" s="8">
        <v>9.1999999999999993</v>
      </c>
      <c r="F75" s="8">
        <v>7.8</v>
      </c>
      <c r="G75" s="8">
        <v>-2.5</v>
      </c>
      <c r="H75" s="8">
        <v>14.2</v>
      </c>
      <c r="I75" s="8">
        <v>9.1</v>
      </c>
      <c r="J75" s="8">
        <v>10.9</v>
      </c>
      <c r="K75" s="8">
        <v>10.9</v>
      </c>
      <c r="L75" s="8" t="s">
        <v>1483</v>
      </c>
      <c r="M75" s="8" t="s">
        <v>1483</v>
      </c>
      <c r="N75" s="8" t="s">
        <v>1483</v>
      </c>
    </row>
    <row r="76" spans="1:14" x14ac:dyDescent="0.25">
      <c r="A76" s="6" t="s">
        <v>17</v>
      </c>
      <c r="B76" s="7"/>
      <c r="C76" s="7"/>
      <c r="D76" s="7"/>
      <c r="E76" s="8"/>
      <c r="F76" s="8"/>
      <c r="G76" s="8"/>
      <c r="H76" s="8"/>
      <c r="I76" s="8"/>
      <c r="J76" s="8"/>
      <c r="K76" s="8"/>
      <c r="L76" s="8"/>
      <c r="M76" s="8"/>
      <c r="N76" s="8"/>
    </row>
    <row r="77" spans="1:14" x14ac:dyDescent="0.25">
      <c r="A77" s="6" t="s">
        <v>82</v>
      </c>
      <c r="B77" s="7"/>
      <c r="C77" s="7"/>
      <c r="D77" s="7"/>
      <c r="E77" s="8"/>
      <c r="F77" s="8"/>
      <c r="G77" s="8"/>
      <c r="H77" s="8"/>
      <c r="I77" s="8"/>
      <c r="J77" s="8"/>
      <c r="K77" s="8"/>
      <c r="L77" s="8"/>
      <c r="M77" s="8"/>
      <c r="N77" s="8"/>
    </row>
    <row r="78" spans="1:14" x14ac:dyDescent="0.25">
      <c r="A78" s="6" t="s">
        <v>83</v>
      </c>
      <c r="B78" s="7"/>
      <c r="C78" s="7"/>
      <c r="D78" s="7"/>
      <c r="E78" s="8"/>
      <c r="F78" s="8"/>
      <c r="G78" s="8"/>
      <c r="H78" s="8"/>
      <c r="I78" s="8"/>
      <c r="J78" s="8"/>
      <c r="K78" s="8"/>
      <c r="L78" s="8"/>
      <c r="M78" s="8"/>
      <c r="N78" s="8"/>
    </row>
    <row r="79" spans="1:14" x14ac:dyDescent="0.25">
      <c r="A79" s="6" t="s">
        <v>19</v>
      </c>
      <c r="B79" s="7" t="s">
        <v>20</v>
      </c>
      <c r="C79" s="7" t="s">
        <v>21</v>
      </c>
      <c r="D79" s="7" t="s">
        <v>1367</v>
      </c>
      <c r="E79" s="8">
        <v>5538</v>
      </c>
      <c r="F79" s="8">
        <v>6097</v>
      </c>
      <c r="G79" s="8">
        <v>5508</v>
      </c>
      <c r="H79" s="8">
        <v>6901</v>
      </c>
      <c r="I79" s="8">
        <v>7632</v>
      </c>
      <c r="J79" s="8">
        <v>8425</v>
      </c>
      <c r="K79" s="8">
        <v>10210</v>
      </c>
      <c r="L79" s="8">
        <v>12864</v>
      </c>
      <c r="M79" s="8">
        <v>14262.030399448151</v>
      </c>
      <c r="N79" s="8">
        <v>15860.264280044164</v>
      </c>
    </row>
    <row r="80" spans="1:14" x14ac:dyDescent="0.25">
      <c r="A80" s="6" t="s">
        <v>104</v>
      </c>
      <c r="B80" s="7" t="s">
        <v>20</v>
      </c>
      <c r="C80" s="7" t="s">
        <v>21</v>
      </c>
      <c r="D80" s="7" t="s">
        <v>1366</v>
      </c>
      <c r="E80" s="8">
        <v>980</v>
      </c>
      <c r="F80" s="8">
        <v>1080</v>
      </c>
      <c r="G80" s="8">
        <v>1000</v>
      </c>
      <c r="H80" s="8">
        <v>1222</v>
      </c>
      <c r="I80" s="8">
        <v>1341</v>
      </c>
      <c r="J80" s="8">
        <v>1511</v>
      </c>
      <c r="K80" s="8">
        <v>1651</v>
      </c>
      <c r="L80" s="8">
        <v>1802</v>
      </c>
      <c r="M80" s="8">
        <v>1932.1829404804241</v>
      </c>
      <c r="N80" s="8">
        <v>2090.0367597846789</v>
      </c>
    </row>
    <row r="81" spans="1:14" x14ac:dyDescent="0.25">
      <c r="A81" s="6" t="s">
        <v>1356</v>
      </c>
      <c r="B81" s="7" t="s">
        <v>20</v>
      </c>
      <c r="C81" s="7" t="s">
        <v>21</v>
      </c>
      <c r="D81" s="7" t="s">
        <v>1365</v>
      </c>
      <c r="E81" s="8">
        <v>864</v>
      </c>
      <c r="F81" s="8">
        <v>1005</v>
      </c>
      <c r="G81" s="8">
        <v>918</v>
      </c>
      <c r="H81" s="8">
        <v>1120</v>
      </c>
      <c r="I81" s="8">
        <v>1257</v>
      </c>
      <c r="J81" s="8">
        <v>1369</v>
      </c>
      <c r="K81" s="8">
        <v>1557</v>
      </c>
      <c r="L81" s="8">
        <v>2000</v>
      </c>
      <c r="M81" s="8">
        <v>2162.39334722689</v>
      </c>
      <c r="N81" s="8">
        <v>2346.0697231814997</v>
      </c>
    </row>
    <row r="82" spans="1:14" x14ac:dyDescent="0.25">
      <c r="A82" s="6" t="s">
        <v>1235</v>
      </c>
      <c r="B82" s="7" t="s">
        <v>20</v>
      </c>
      <c r="C82" s="7" t="s">
        <v>21</v>
      </c>
      <c r="D82" s="7" t="s">
        <v>1364</v>
      </c>
      <c r="E82" s="8">
        <v>624</v>
      </c>
      <c r="F82" s="8">
        <v>695</v>
      </c>
      <c r="G82" s="8">
        <v>610</v>
      </c>
      <c r="H82" s="8">
        <v>713</v>
      </c>
      <c r="I82" s="8">
        <v>715</v>
      </c>
      <c r="J82" s="8">
        <v>736</v>
      </c>
      <c r="K82" s="8">
        <v>847</v>
      </c>
      <c r="L82" s="8">
        <v>914</v>
      </c>
      <c r="M82" s="8">
        <v>1019.8267076874355</v>
      </c>
      <c r="N82" s="8">
        <v>1107.2884111070596</v>
      </c>
    </row>
    <row r="83" spans="1:14" x14ac:dyDescent="0.25">
      <c r="A83" s="6" t="s">
        <v>1353</v>
      </c>
      <c r="B83" s="7" t="s">
        <v>20</v>
      </c>
      <c r="C83" s="7" t="s">
        <v>21</v>
      </c>
      <c r="D83" s="7" t="s">
        <v>1363</v>
      </c>
      <c r="E83" s="8" t="s">
        <v>1483</v>
      </c>
      <c r="F83" s="8" t="s">
        <v>1483</v>
      </c>
      <c r="G83" s="8" t="s">
        <v>1483</v>
      </c>
      <c r="H83" s="8" t="s">
        <v>1483</v>
      </c>
      <c r="I83" s="8" t="s">
        <v>1483</v>
      </c>
      <c r="J83" s="8">
        <v>1436</v>
      </c>
      <c r="K83" s="8">
        <v>1607</v>
      </c>
      <c r="L83" s="8">
        <v>2007</v>
      </c>
      <c r="M83" s="8">
        <v>2290.9843409529867</v>
      </c>
      <c r="N83" s="8">
        <v>2552.5088487598823</v>
      </c>
    </row>
    <row r="84" spans="1:14" x14ac:dyDescent="0.25">
      <c r="A84" s="6" t="s">
        <v>1351</v>
      </c>
      <c r="B84" s="7" t="s">
        <v>20</v>
      </c>
      <c r="C84" s="7" t="s">
        <v>21</v>
      </c>
      <c r="D84" s="7" t="s">
        <v>1362</v>
      </c>
      <c r="E84" s="8" t="s">
        <v>1483</v>
      </c>
      <c r="F84" s="8" t="s">
        <v>1483</v>
      </c>
      <c r="G84" s="8" t="s">
        <v>1483</v>
      </c>
      <c r="H84" s="8">
        <v>729</v>
      </c>
      <c r="I84" s="8">
        <v>915</v>
      </c>
      <c r="J84" s="8">
        <v>1155</v>
      </c>
      <c r="K84" s="8">
        <v>1371</v>
      </c>
      <c r="L84" s="8">
        <v>1791</v>
      </c>
      <c r="M84" s="8">
        <v>2174.4859087477985</v>
      </c>
      <c r="N84" s="8">
        <v>2646.8993926033468</v>
      </c>
    </row>
    <row r="85" spans="1:14" x14ac:dyDescent="0.25">
      <c r="A85" s="6" t="s">
        <v>1349</v>
      </c>
      <c r="B85" s="7" t="s">
        <v>20</v>
      </c>
      <c r="C85" s="7" t="s">
        <v>21</v>
      </c>
      <c r="D85" s="7" t="s">
        <v>1361</v>
      </c>
      <c r="E85" s="8">
        <v>1159</v>
      </c>
      <c r="F85" s="8">
        <v>1135</v>
      </c>
      <c r="G85" s="8">
        <v>992</v>
      </c>
      <c r="H85" s="8">
        <v>1214</v>
      </c>
      <c r="I85" s="8">
        <v>1337</v>
      </c>
      <c r="J85" s="8">
        <v>1405</v>
      </c>
      <c r="K85" s="8">
        <v>1403</v>
      </c>
      <c r="L85" s="8">
        <v>1425</v>
      </c>
      <c r="M85" s="8">
        <v>1481.5001794938805</v>
      </c>
      <c r="N85" s="8">
        <v>1532.7097905420646</v>
      </c>
    </row>
    <row r="86" spans="1:14" x14ac:dyDescent="0.25">
      <c r="A86" s="6" t="s">
        <v>1242</v>
      </c>
      <c r="B86" s="7" t="s">
        <v>20</v>
      </c>
      <c r="C86" s="7" t="s">
        <v>21</v>
      </c>
      <c r="D86" s="7" t="s">
        <v>1360</v>
      </c>
      <c r="E86" s="8">
        <v>150</v>
      </c>
      <c r="F86" s="8">
        <v>148</v>
      </c>
      <c r="G86" s="8">
        <v>118</v>
      </c>
      <c r="H86" s="8">
        <v>128</v>
      </c>
      <c r="I86" s="8">
        <v>275</v>
      </c>
      <c r="J86" s="8">
        <v>370</v>
      </c>
      <c r="K86" s="8">
        <v>1256</v>
      </c>
      <c r="L86" s="8">
        <v>2311</v>
      </c>
      <c r="M86" s="8">
        <v>2612.0028166811126</v>
      </c>
      <c r="N86" s="8">
        <v>2983.0254687896108</v>
      </c>
    </row>
    <row r="87" spans="1:14" x14ac:dyDescent="0.25">
      <c r="A87" s="6" t="s">
        <v>1346</v>
      </c>
      <c r="B87" s="7" t="s">
        <v>20</v>
      </c>
      <c r="C87" s="7" t="s">
        <v>21</v>
      </c>
      <c r="D87" s="7" t="s">
        <v>1359</v>
      </c>
      <c r="E87" s="8" t="s">
        <v>1483</v>
      </c>
      <c r="F87" s="8" t="s">
        <v>1483</v>
      </c>
      <c r="G87" s="8" t="s">
        <v>1483</v>
      </c>
      <c r="H87" s="8" t="s">
        <v>1483</v>
      </c>
      <c r="I87" s="8" t="s">
        <v>1483</v>
      </c>
      <c r="J87" s="8">
        <v>442</v>
      </c>
      <c r="K87" s="8">
        <v>518</v>
      </c>
      <c r="L87" s="8">
        <v>615</v>
      </c>
      <c r="M87" s="8">
        <v>691.25840000000005</v>
      </c>
      <c r="N87" s="8">
        <v>762.25403000000028</v>
      </c>
    </row>
    <row r="88" spans="1:14" x14ac:dyDescent="0.25">
      <c r="A88" s="6" t="s">
        <v>17</v>
      </c>
      <c r="B88" s="7"/>
      <c r="C88" s="7"/>
      <c r="D88" s="7"/>
      <c r="E88" s="8"/>
      <c r="F88" s="8"/>
      <c r="G88" s="8"/>
      <c r="H88" s="8"/>
      <c r="I88" s="8"/>
      <c r="J88" s="8"/>
      <c r="K88" s="8"/>
      <c r="L88" s="8"/>
      <c r="M88" s="8"/>
      <c r="N88" s="8"/>
    </row>
    <row r="89" spans="1:14" x14ac:dyDescent="0.25">
      <c r="A89" s="6" t="s">
        <v>112</v>
      </c>
      <c r="B89" s="7"/>
      <c r="C89" s="7"/>
      <c r="D89" s="7"/>
      <c r="E89" s="8"/>
      <c r="F89" s="8"/>
      <c r="G89" s="8"/>
      <c r="H89" s="8"/>
      <c r="I89" s="8"/>
      <c r="J89" s="8"/>
      <c r="K89" s="8"/>
      <c r="L89" s="8"/>
      <c r="M89" s="8"/>
      <c r="N89" s="8"/>
    </row>
    <row r="90" spans="1:14" x14ac:dyDescent="0.25">
      <c r="A90" s="6" t="s">
        <v>19</v>
      </c>
      <c r="B90" s="7" t="s">
        <v>20</v>
      </c>
      <c r="C90" s="7" t="s">
        <v>21</v>
      </c>
      <c r="D90" s="7" t="s">
        <v>1358</v>
      </c>
      <c r="E90" s="8">
        <v>4286</v>
      </c>
      <c r="F90" s="8">
        <v>4557</v>
      </c>
      <c r="G90" s="8">
        <v>4185</v>
      </c>
      <c r="H90" s="8">
        <v>4974</v>
      </c>
      <c r="I90" s="8">
        <v>5111</v>
      </c>
      <c r="J90" s="8">
        <v>5816</v>
      </c>
      <c r="K90" s="8">
        <v>6538</v>
      </c>
      <c r="L90" s="8">
        <v>7209</v>
      </c>
      <c r="M90" s="8">
        <v>7907.4138252992398</v>
      </c>
      <c r="N90" s="8">
        <v>8603.6062435131371</v>
      </c>
    </row>
    <row r="91" spans="1:14" x14ac:dyDescent="0.25">
      <c r="A91" s="6" t="s">
        <v>104</v>
      </c>
      <c r="B91" s="7" t="s">
        <v>20</v>
      </c>
      <c r="C91" s="7" t="s">
        <v>21</v>
      </c>
      <c r="D91" s="7" t="s">
        <v>1357</v>
      </c>
      <c r="E91" s="8">
        <v>781</v>
      </c>
      <c r="F91" s="8">
        <v>814</v>
      </c>
      <c r="G91" s="8">
        <v>780</v>
      </c>
      <c r="H91" s="8">
        <v>919</v>
      </c>
      <c r="I91" s="8">
        <v>880</v>
      </c>
      <c r="J91" s="8">
        <v>970</v>
      </c>
      <c r="K91" s="8">
        <v>1036</v>
      </c>
      <c r="L91" s="8">
        <v>1115</v>
      </c>
      <c r="M91" s="8">
        <v>1208.8704707448107</v>
      </c>
      <c r="N91" s="8">
        <v>1292.7225022286955</v>
      </c>
    </row>
    <row r="92" spans="1:14" x14ac:dyDescent="0.25">
      <c r="A92" s="6" t="s">
        <v>1356</v>
      </c>
      <c r="B92" s="7" t="s">
        <v>20</v>
      </c>
      <c r="C92" s="7" t="s">
        <v>21</v>
      </c>
      <c r="D92" s="7" t="s">
        <v>1355</v>
      </c>
      <c r="E92" s="8">
        <v>381</v>
      </c>
      <c r="F92" s="8">
        <v>408</v>
      </c>
      <c r="G92" s="8">
        <v>368</v>
      </c>
      <c r="H92" s="8">
        <v>463</v>
      </c>
      <c r="I92" s="8">
        <v>516</v>
      </c>
      <c r="J92" s="8">
        <v>595</v>
      </c>
      <c r="K92" s="8">
        <v>643</v>
      </c>
      <c r="L92" s="8">
        <v>709</v>
      </c>
      <c r="M92" s="8">
        <v>768.94836829971757</v>
      </c>
      <c r="N92" s="8">
        <v>825.00951598996085</v>
      </c>
    </row>
    <row r="93" spans="1:14" x14ac:dyDescent="0.25">
      <c r="A93" s="6" t="s">
        <v>1235</v>
      </c>
      <c r="B93" s="7" t="s">
        <v>20</v>
      </c>
      <c r="C93" s="7" t="s">
        <v>21</v>
      </c>
      <c r="D93" s="7" t="s">
        <v>1354</v>
      </c>
      <c r="E93" s="8">
        <v>155</v>
      </c>
      <c r="F93" s="8">
        <v>178</v>
      </c>
      <c r="G93" s="8">
        <v>151</v>
      </c>
      <c r="H93" s="8">
        <v>196</v>
      </c>
      <c r="I93" s="8">
        <v>202</v>
      </c>
      <c r="J93" s="8">
        <v>240</v>
      </c>
      <c r="K93" s="8">
        <v>259</v>
      </c>
      <c r="L93" s="8">
        <v>285</v>
      </c>
      <c r="M93" s="8">
        <v>308.58968128247284</v>
      </c>
      <c r="N93" s="8">
        <v>331.07991238427041</v>
      </c>
    </row>
    <row r="94" spans="1:14" x14ac:dyDescent="0.25">
      <c r="A94" s="6" t="s">
        <v>1353</v>
      </c>
      <c r="B94" s="7" t="s">
        <v>20</v>
      </c>
      <c r="C94" s="7" t="s">
        <v>21</v>
      </c>
      <c r="D94" s="7" t="s">
        <v>1352</v>
      </c>
      <c r="E94" s="8" t="s">
        <v>1483</v>
      </c>
      <c r="F94" s="8" t="s">
        <v>1483</v>
      </c>
      <c r="G94" s="8" t="s">
        <v>1483</v>
      </c>
      <c r="H94" s="8" t="s">
        <v>1483</v>
      </c>
      <c r="I94" s="8" t="s">
        <v>1483</v>
      </c>
      <c r="J94" s="8">
        <v>2355</v>
      </c>
      <c r="K94" s="8">
        <v>2592</v>
      </c>
      <c r="L94" s="8">
        <v>2632</v>
      </c>
      <c r="M94" s="8" t="s">
        <v>1483</v>
      </c>
      <c r="N94" s="8" t="s">
        <v>1483</v>
      </c>
    </row>
    <row r="95" spans="1:14" x14ac:dyDescent="0.25">
      <c r="A95" s="6" t="s">
        <v>1351</v>
      </c>
      <c r="B95" s="7" t="s">
        <v>20</v>
      </c>
      <c r="C95" s="7" t="s">
        <v>21</v>
      </c>
      <c r="D95" s="7" t="s">
        <v>1350</v>
      </c>
      <c r="E95" s="8" t="s">
        <v>1483</v>
      </c>
      <c r="F95" s="8" t="s">
        <v>1483</v>
      </c>
      <c r="G95" s="8" t="s">
        <v>1483</v>
      </c>
      <c r="H95" s="8">
        <v>100</v>
      </c>
      <c r="I95" s="8">
        <v>103</v>
      </c>
      <c r="J95" s="8">
        <v>119</v>
      </c>
      <c r="K95" s="8">
        <v>145</v>
      </c>
      <c r="L95" s="8">
        <v>167</v>
      </c>
      <c r="M95" s="8">
        <v>199.92947331428982</v>
      </c>
      <c r="N95" s="8">
        <v>237.1214293859405</v>
      </c>
    </row>
    <row r="96" spans="1:14" x14ac:dyDescent="0.25">
      <c r="A96" s="6" t="s">
        <v>1349</v>
      </c>
      <c r="B96" s="7" t="s">
        <v>20</v>
      </c>
      <c r="C96" s="7" t="s">
        <v>21</v>
      </c>
      <c r="D96" s="7" t="s">
        <v>1348</v>
      </c>
      <c r="E96" s="8">
        <v>792</v>
      </c>
      <c r="F96" s="8">
        <v>804</v>
      </c>
      <c r="G96" s="8">
        <v>712</v>
      </c>
      <c r="H96" s="8">
        <v>805</v>
      </c>
      <c r="I96" s="8">
        <v>763</v>
      </c>
      <c r="J96" s="8">
        <v>813</v>
      </c>
      <c r="K96" s="8">
        <v>876</v>
      </c>
      <c r="L96" s="8">
        <v>907</v>
      </c>
      <c r="M96" s="8">
        <v>945.88611821541326</v>
      </c>
      <c r="N96" s="8">
        <v>974.72652634688757</v>
      </c>
    </row>
    <row r="97" spans="1:14" x14ac:dyDescent="0.25">
      <c r="A97" s="6" t="s">
        <v>1242</v>
      </c>
      <c r="B97" s="7" t="s">
        <v>20</v>
      </c>
      <c r="C97" s="7" t="s">
        <v>21</v>
      </c>
      <c r="D97" s="7" t="s">
        <v>1347</v>
      </c>
      <c r="E97" s="8">
        <v>161</v>
      </c>
      <c r="F97" s="8">
        <v>180</v>
      </c>
      <c r="G97" s="8">
        <v>169</v>
      </c>
      <c r="H97" s="8">
        <v>237</v>
      </c>
      <c r="I97" s="8">
        <v>310</v>
      </c>
      <c r="J97" s="8">
        <v>430</v>
      </c>
      <c r="K97" s="8">
        <v>648</v>
      </c>
      <c r="L97" s="8">
        <v>1014</v>
      </c>
      <c r="M97" s="8">
        <v>1285.3200153149442</v>
      </c>
      <c r="N97" s="8">
        <v>1542.7842631288586</v>
      </c>
    </row>
    <row r="98" spans="1:14" x14ac:dyDescent="0.25">
      <c r="A98" s="6" t="s">
        <v>1346</v>
      </c>
      <c r="B98" s="7" t="s">
        <v>20</v>
      </c>
      <c r="C98" s="7" t="s">
        <v>21</v>
      </c>
      <c r="D98" s="7" t="s">
        <v>1345</v>
      </c>
      <c r="E98" s="8" t="s">
        <v>1483</v>
      </c>
      <c r="F98" s="8" t="s">
        <v>1483</v>
      </c>
      <c r="G98" s="8" t="s">
        <v>1483</v>
      </c>
      <c r="H98" s="8" t="s">
        <v>1483</v>
      </c>
      <c r="I98" s="8" t="s">
        <v>1483</v>
      </c>
      <c r="J98" s="8">
        <v>294</v>
      </c>
      <c r="K98" s="8">
        <v>338</v>
      </c>
      <c r="L98" s="8">
        <v>381</v>
      </c>
      <c r="M98" s="8">
        <v>426.66208236331568</v>
      </c>
      <c r="N98" s="8">
        <v>462.91579442328043</v>
      </c>
    </row>
    <row r="99" spans="1:14" x14ac:dyDescent="0.25">
      <c r="A99" s="6" t="s">
        <v>17</v>
      </c>
      <c r="B99" s="7"/>
      <c r="C99" s="7"/>
      <c r="D99" s="7"/>
      <c r="E99" s="8"/>
      <c r="F99" s="8"/>
      <c r="G99" s="8"/>
      <c r="H99" s="8"/>
      <c r="I99" s="8"/>
      <c r="J99" s="8"/>
      <c r="K99" s="8"/>
      <c r="L99" s="8"/>
      <c r="M99" s="8"/>
      <c r="N99" s="8"/>
    </row>
    <row r="100" spans="1:14" x14ac:dyDescent="0.25">
      <c r="A100" s="6" t="s">
        <v>136</v>
      </c>
      <c r="B100" s="7"/>
      <c r="C100" s="7"/>
      <c r="D100" s="7"/>
      <c r="E100" s="8"/>
      <c r="F100" s="8"/>
      <c r="G100" s="8"/>
      <c r="H100" s="8"/>
      <c r="I100" s="8"/>
      <c r="J100" s="8"/>
      <c r="K100" s="8"/>
      <c r="L100" s="8"/>
      <c r="M100" s="8"/>
      <c r="N100" s="8"/>
    </row>
    <row r="101" spans="1:14" x14ac:dyDescent="0.25">
      <c r="A101" s="6" t="s">
        <v>11</v>
      </c>
      <c r="B101" s="7" t="s">
        <v>12</v>
      </c>
      <c r="C101" s="7" t="s">
        <v>13</v>
      </c>
      <c r="D101" s="7"/>
      <c r="E101" s="8">
        <v>9823</v>
      </c>
      <c r="F101" s="8">
        <v>10735</v>
      </c>
      <c r="G101" s="8">
        <v>9913</v>
      </c>
      <c r="H101" s="8">
        <v>11888</v>
      </c>
      <c r="I101" s="8">
        <v>12682</v>
      </c>
      <c r="J101" s="8">
        <v>14240</v>
      </c>
      <c r="K101" s="8">
        <v>16747</v>
      </c>
      <c r="L101" s="8">
        <v>20074</v>
      </c>
      <c r="M101" s="8">
        <v>22267.34375</v>
      </c>
      <c r="N101" s="8">
        <v>24604.903225806451</v>
      </c>
    </row>
    <row r="102" spans="1:14" x14ac:dyDescent="0.25">
      <c r="A102" s="6" t="s">
        <v>17</v>
      </c>
      <c r="B102" s="7"/>
      <c r="C102" s="7"/>
      <c r="D102" s="7"/>
      <c r="E102" s="8"/>
      <c r="F102" s="8"/>
      <c r="G102" s="8"/>
      <c r="H102" s="8"/>
      <c r="I102" s="8"/>
      <c r="J102" s="8"/>
      <c r="K102" s="8"/>
      <c r="L102" s="8"/>
      <c r="M102" s="8"/>
      <c r="N102" s="8"/>
    </row>
    <row r="103" spans="1:14" x14ac:dyDescent="0.25">
      <c r="A103" s="6" t="s">
        <v>630</v>
      </c>
      <c r="B103" s="7" t="s">
        <v>145</v>
      </c>
      <c r="C103" s="7" t="s">
        <v>146</v>
      </c>
      <c r="D103" s="7"/>
      <c r="E103" s="8">
        <v>2724</v>
      </c>
      <c r="F103" s="8">
        <v>2966</v>
      </c>
      <c r="G103" s="8">
        <v>3258</v>
      </c>
      <c r="H103" s="8">
        <v>3535</v>
      </c>
      <c r="I103" s="8">
        <v>3747</v>
      </c>
      <c r="J103" s="8">
        <v>4167</v>
      </c>
      <c r="K103" s="8">
        <v>4972</v>
      </c>
      <c r="L103" s="8">
        <v>5899</v>
      </c>
      <c r="M103" s="8">
        <v>6532.5363710616184</v>
      </c>
      <c r="N103" s="8">
        <v>7173.1898150726493</v>
      </c>
    </row>
    <row r="104" spans="1:14" x14ac:dyDescent="0.25">
      <c r="A104" s="6" t="s">
        <v>17</v>
      </c>
      <c r="B104" s="7"/>
      <c r="C104" s="7"/>
      <c r="D104" s="7"/>
      <c r="E104" s="8"/>
      <c r="F104" s="8"/>
      <c r="G104" s="8"/>
      <c r="H104" s="8"/>
      <c r="I104" s="8"/>
      <c r="J104" s="8"/>
      <c r="K104" s="8"/>
      <c r="L104" s="8"/>
      <c r="M104" s="8"/>
      <c r="N104" s="8"/>
    </row>
    <row r="105" spans="1:14" x14ac:dyDescent="0.25">
      <c r="A105" s="6" t="s">
        <v>147</v>
      </c>
      <c r="B105" s="7" t="s">
        <v>148</v>
      </c>
      <c r="C105" s="7" t="s">
        <v>149</v>
      </c>
      <c r="D105" s="7"/>
      <c r="E105" s="8">
        <v>7099</v>
      </c>
      <c r="F105" s="8">
        <v>7769</v>
      </c>
      <c r="G105" s="8">
        <v>6655</v>
      </c>
      <c r="H105" s="8">
        <v>8353</v>
      </c>
      <c r="I105" s="8">
        <v>8935</v>
      </c>
      <c r="J105" s="8">
        <v>10073</v>
      </c>
      <c r="K105" s="8">
        <v>11776</v>
      </c>
      <c r="L105" s="8">
        <v>14175</v>
      </c>
      <c r="M105" s="8">
        <v>15740.267227846043</v>
      </c>
      <c r="N105" s="8">
        <v>17439.890704777838</v>
      </c>
    </row>
    <row r="106" spans="1:14" x14ac:dyDescent="0.25">
      <c r="A106" s="6" t="s">
        <v>150</v>
      </c>
      <c r="B106" s="7" t="s">
        <v>47</v>
      </c>
      <c r="C106" s="7" t="s">
        <v>48</v>
      </c>
      <c r="D106" s="7"/>
      <c r="E106" s="8">
        <v>71.373307999999994</v>
      </c>
      <c r="F106" s="8">
        <v>72.370750000000001</v>
      </c>
      <c r="G106" s="8">
        <v>67.134066000000004</v>
      </c>
      <c r="H106" s="8">
        <v>68.783647000000002</v>
      </c>
      <c r="I106" s="8">
        <v>70.454187000000005</v>
      </c>
      <c r="J106" s="8">
        <v>70.737359999999995</v>
      </c>
      <c r="K106" s="8">
        <v>70.317071999999996</v>
      </c>
      <c r="L106" s="8">
        <v>69.014645999999999</v>
      </c>
      <c r="M106" s="8">
        <v>70.53350050792605</v>
      </c>
      <c r="N106" s="8">
        <v>70.713997350519861</v>
      </c>
    </row>
    <row r="107" spans="1:14" x14ac:dyDescent="0.25">
      <c r="A107" s="6" t="s">
        <v>17</v>
      </c>
      <c r="B107" s="7"/>
      <c r="C107" s="7"/>
      <c r="D107" s="7"/>
      <c r="E107" s="8"/>
      <c r="F107" s="8"/>
      <c r="G107" s="8"/>
      <c r="H107" s="8"/>
      <c r="I107" s="8"/>
      <c r="J107" s="8"/>
      <c r="K107" s="8"/>
      <c r="L107" s="8"/>
      <c r="M107" s="8"/>
      <c r="N107" s="8"/>
    </row>
    <row r="108" spans="1:14" x14ac:dyDescent="0.25">
      <c r="A108" s="6" t="s">
        <v>151</v>
      </c>
      <c r="B108" s="7" t="s">
        <v>1344</v>
      </c>
      <c r="C108" s="7" t="s">
        <v>1343</v>
      </c>
      <c r="D108" s="7"/>
      <c r="E108" s="8">
        <v>4526</v>
      </c>
      <c r="F108" s="8">
        <v>4970</v>
      </c>
      <c r="G108" s="8">
        <v>4738</v>
      </c>
      <c r="H108" s="8">
        <v>0</v>
      </c>
      <c r="I108" s="8">
        <v>5694</v>
      </c>
      <c r="J108" s="8">
        <v>6335</v>
      </c>
      <c r="K108" s="8">
        <v>7246</v>
      </c>
      <c r="L108" s="8">
        <v>8563</v>
      </c>
      <c r="M108" s="8">
        <v>9358.052776736753</v>
      </c>
      <c r="N108" s="8">
        <v>10242.580705593549</v>
      </c>
    </row>
    <row r="109" spans="1:14" x14ac:dyDescent="0.25">
      <c r="A109" s="6" t="s">
        <v>1153</v>
      </c>
      <c r="B109" s="7" t="s">
        <v>153</v>
      </c>
      <c r="C109" s="7" t="s">
        <v>154</v>
      </c>
      <c r="D109" s="7"/>
      <c r="E109" s="8">
        <v>3474</v>
      </c>
      <c r="F109" s="8">
        <v>3766</v>
      </c>
      <c r="G109" s="8">
        <v>3646</v>
      </c>
      <c r="H109" s="8">
        <v>4149</v>
      </c>
      <c r="I109" s="8">
        <v>4387</v>
      </c>
      <c r="J109" s="8">
        <v>4945</v>
      </c>
      <c r="K109" s="8">
        <v>5686</v>
      </c>
      <c r="L109" s="8">
        <v>6602</v>
      </c>
      <c r="M109" s="8">
        <v>7223.6889743834145</v>
      </c>
      <c r="N109" s="8">
        <v>7932.2276707409555</v>
      </c>
    </row>
    <row r="110" spans="1:14" x14ac:dyDescent="0.25">
      <c r="A110" s="6" t="s">
        <v>155</v>
      </c>
      <c r="B110" s="7" t="s">
        <v>156</v>
      </c>
      <c r="C110" s="7" t="s">
        <v>157</v>
      </c>
      <c r="D110" s="7"/>
      <c r="E110" s="8">
        <v>35.365977807187214</v>
      </c>
      <c r="F110" s="8">
        <v>35.081509082440618</v>
      </c>
      <c r="G110" s="8">
        <v>36.77998587713104</v>
      </c>
      <c r="H110" s="8">
        <v>34.900740242261101</v>
      </c>
      <c r="I110" s="8">
        <v>34.592335593754932</v>
      </c>
      <c r="J110" s="8">
        <v>34.726123595505619</v>
      </c>
      <c r="K110" s="8">
        <v>33.95234967456858</v>
      </c>
      <c r="L110" s="8">
        <v>32.888313241008269</v>
      </c>
      <c r="M110" s="8">
        <v>32.581014060392782</v>
      </c>
      <c r="N110" s="8">
        <v>32.268516459484992</v>
      </c>
    </row>
    <row r="111" spans="1:14" x14ac:dyDescent="0.25">
      <c r="A111" s="6" t="s">
        <v>158</v>
      </c>
      <c r="B111" s="7" t="s">
        <v>159</v>
      </c>
      <c r="C111" s="7" t="s">
        <v>160</v>
      </c>
      <c r="D111" s="7"/>
      <c r="E111" s="8">
        <v>1052</v>
      </c>
      <c r="F111" s="8">
        <v>1138</v>
      </c>
      <c r="G111" s="8">
        <v>1046</v>
      </c>
      <c r="H111" s="8">
        <v>1145</v>
      </c>
      <c r="I111" s="8">
        <v>1260</v>
      </c>
      <c r="J111" s="8">
        <v>1344</v>
      </c>
      <c r="K111" s="8">
        <v>1527</v>
      </c>
      <c r="L111" s="8">
        <v>1914</v>
      </c>
      <c r="M111" s="8">
        <v>2099.0847446469625</v>
      </c>
      <c r="N111" s="8">
        <v>2307.6903873793849</v>
      </c>
    </row>
    <row r="112" spans="1:14" x14ac:dyDescent="0.25">
      <c r="A112" s="6" t="s">
        <v>155</v>
      </c>
      <c r="B112" s="7" t="s">
        <v>161</v>
      </c>
      <c r="C112" s="7" t="s">
        <v>162</v>
      </c>
      <c r="D112" s="7"/>
      <c r="E112" s="8">
        <v>10.709559197801079</v>
      </c>
      <c r="F112" s="8">
        <v>10.600838379133675</v>
      </c>
      <c r="G112" s="8">
        <v>10.551800665792394</v>
      </c>
      <c r="H112" s="8">
        <v>9.6315612382234193</v>
      </c>
      <c r="I112" s="8">
        <v>9.9353414287967201</v>
      </c>
      <c r="J112" s="8">
        <v>9.4382022471910112</v>
      </c>
      <c r="K112" s="8">
        <v>9.118050994207918</v>
      </c>
      <c r="L112" s="8">
        <v>9.5347215303377499</v>
      </c>
      <c r="M112" s="8">
        <v>9.4485495134288211</v>
      </c>
      <c r="N112" s="8">
        <v>9.4132530695718071</v>
      </c>
    </row>
    <row r="113" spans="1:14" x14ac:dyDescent="0.25">
      <c r="A113" s="6" t="s">
        <v>1342</v>
      </c>
      <c r="B113" s="7" t="s">
        <v>1341</v>
      </c>
      <c r="C113" s="7" t="s">
        <v>1340</v>
      </c>
      <c r="D113" s="7"/>
      <c r="E113" s="8">
        <v>71</v>
      </c>
      <c r="F113" s="8">
        <v>65</v>
      </c>
      <c r="G113" s="8">
        <v>45</v>
      </c>
      <c r="H113" s="8">
        <v>49</v>
      </c>
      <c r="I113" s="8">
        <v>47</v>
      </c>
      <c r="J113" s="8">
        <v>46</v>
      </c>
      <c r="K113" s="8">
        <v>33</v>
      </c>
      <c r="L113" s="8">
        <v>46</v>
      </c>
      <c r="M113" s="8">
        <v>40.635616141402629</v>
      </c>
      <c r="N113" s="8">
        <v>42.179893334838859</v>
      </c>
    </row>
    <row r="114" spans="1:14" x14ac:dyDescent="0.25">
      <c r="A114" s="6" t="s">
        <v>1339</v>
      </c>
      <c r="B114" s="7" t="s">
        <v>1338</v>
      </c>
      <c r="C114" s="7" t="s">
        <v>1337</v>
      </c>
      <c r="D114" s="7"/>
      <c r="E114" s="8">
        <v>35</v>
      </c>
      <c r="F114" s="8">
        <v>105</v>
      </c>
      <c r="G114" s="8">
        <v>460</v>
      </c>
      <c r="H114" s="8">
        <v>370</v>
      </c>
      <c r="I114" s="8">
        <v>132</v>
      </c>
      <c r="J114" s="8">
        <v>58</v>
      </c>
      <c r="K114" s="8">
        <v>386</v>
      </c>
      <c r="L114" s="8">
        <v>46</v>
      </c>
      <c r="M114" s="8">
        <v>0</v>
      </c>
      <c r="N114" s="8">
        <v>0</v>
      </c>
    </row>
    <row r="115" spans="1:14" x14ac:dyDescent="0.25">
      <c r="A115" s="6" t="s">
        <v>1336</v>
      </c>
      <c r="B115" s="7" t="s">
        <v>1335</v>
      </c>
      <c r="C115" s="7" t="s">
        <v>1334</v>
      </c>
      <c r="D115" s="7"/>
      <c r="E115" s="8">
        <v>-21</v>
      </c>
      <c r="F115" s="8">
        <v>-35</v>
      </c>
      <c r="G115" s="8">
        <v>-100</v>
      </c>
      <c r="H115" s="8">
        <v>-136</v>
      </c>
      <c r="I115" s="8">
        <v>35</v>
      </c>
      <c r="J115" s="8">
        <v>58</v>
      </c>
      <c r="K115" s="8">
        <v>-5</v>
      </c>
      <c r="L115" s="8">
        <v>18</v>
      </c>
      <c r="M115" s="8" t="s">
        <v>1483</v>
      </c>
      <c r="N115" s="8" t="s">
        <v>1483</v>
      </c>
    </row>
    <row r="116" spans="1:14" x14ac:dyDescent="0.25">
      <c r="A116" s="6" t="s">
        <v>1333</v>
      </c>
      <c r="B116" s="7" t="s">
        <v>1332</v>
      </c>
      <c r="C116" s="7" t="s">
        <v>1331</v>
      </c>
      <c r="D116" s="7"/>
      <c r="E116" s="8">
        <v>36</v>
      </c>
      <c r="F116" s="8">
        <v>38</v>
      </c>
      <c r="G116" s="8">
        <v>52</v>
      </c>
      <c r="H116" s="8">
        <v>40</v>
      </c>
      <c r="I116" s="8">
        <v>24</v>
      </c>
      <c r="J116" s="8">
        <v>69</v>
      </c>
      <c r="K116" s="8">
        <v>16</v>
      </c>
      <c r="L116" s="8">
        <v>101</v>
      </c>
      <c r="M116" s="8">
        <v>106.58573477817053</v>
      </c>
      <c r="N116" s="8">
        <v>107.25299487789179</v>
      </c>
    </row>
    <row r="117" spans="1:14" x14ac:dyDescent="0.25">
      <c r="A117" s="6" t="s">
        <v>17</v>
      </c>
      <c r="B117" s="7"/>
      <c r="C117" s="7"/>
      <c r="D117" s="7"/>
      <c r="E117" s="8"/>
      <c r="F117" s="8"/>
      <c r="G117" s="8"/>
      <c r="H117" s="8"/>
      <c r="I117" s="8"/>
      <c r="J117" s="8"/>
      <c r="K117" s="8"/>
      <c r="L117" s="8"/>
      <c r="M117" s="8"/>
      <c r="N117" s="8"/>
    </row>
    <row r="118" spans="1:14" x14ac:dyDescent="0.25">
      <c r="A118" s="6" t="s">
        <v>167</v>
      </c>
      <c r="B118" s="7" t="s">
        <v>168</v>
      </c>
      <c r="C118" s="7" t="s">
        <v>169</v>
      </c>
      <c r="D118" s="7"/>
      <c r="E118" s="8">
        <v>894</v>
      </c>
      <c r="F118" s="8">
        <v>1011</v>
      </c>
      <c r="G118" s="8">
        <v>1123</v>
      </c>
      <c r="H118" s="8">
        <v>1093</v>
      </c>
      <c r="I118" s="8">
        <v>1136</v>
      </c>
      <c r="J118" s="8">
        <v>1196</v>
      </c>
      <c r="K118" s="8">
        <v>1269</v>
      </c>
      <c r="L118" s="8">
        <v>1368</v>
      </c>
      <c r="M118" s="8">
        <v>1402.908875403301</v>
      </c>
      <c r="N118" s="8">
        <v>1510.9925427304806</v>
      </c>
    </row>
    <row r="119" spans="1:14" x14ac:dyDescent="0.25">
      <c r="A119" s="6" t="s">
        <v>170</v>
      </c>
      <c r="B119" s="7" t="s">
        <v>171</v>
      </c>
      <c r="C119" s="7" t="s">
        <v>172</v>
      </c>
      <c r="D119" s="7"/>
      <c r="E119" s="8">
        <v>296</v>
      </c>
      <c r="F119" s="8">
        <v>311</v>
      </c>
      <c r="G119" s="8">
        <v>333</v>
      </c>
      <c r="H119" s="8">
        <v>352</v>
      </c>
      <c r="I119" s="8">
        <v>333</v>
      </c>
      <c r="J119" s="8">
        <v>367</v>
      </c>
      <c r="K119" s="8">
        <v>412</v>
      </c>
      <c r="L119" s="8">
        <v>471</v>
      </c>
      <c r="M119" s="8">
        <v>530.83816966675204</v>
      </c>
      <c r="N119" s="8">
        <v>589.45967094470598</v>
      </c>
    </row>
    <row r="120" spans="1:14" x14ac:dyDescent="0.25">
      <c r="A120" s="6" t="s">
        <v>173</v>
      </c>
      <c r="B120" s="7" t="s">
        <v>174</v>
      </c>
      <c r="C120" s="7" t="s">
        <v>175</v>
      </c>
      <c r="D120" s="7"/>
      <c r="E120" s="8">
        <v>599</v>
      </c>
      <c r="F120" s="8">
        <v>699</v>
      </c>
      <c r="G120" s="8">
        <v>789</v>
      </c>
      <c r="H120" s="8">
        <v>741</v>
      </c>
      <c r="I120" s="8">
        <v>803</v>
      </c>
      <c r="J120" s="8">
        <v>828</v>
      </c>
      <c r="K120" s="8">
        <v>856</v>
      </c>
      <c r="L120" s="8">
        <v>897</v>
      </c>
      <c r="M120" s="8">
        <v>885.85907127573034</v>
      </c>
      <c r="N120" s="8">
        <v>892.4802895793357</v>
      </c>
    </row>
    <row r="121" spans="1:14" x14ac:dyDescent="0.25">
      <c r="A121" s="6" t="s">
        <v>176</v>
      </c>
      <c r="B121" s="7" t="s">
        <v>177</v>
      </c>
      <c r="C121" s="7" t="s">
        <v>178</v>
      </c>
      <c r="D121" s="7"/>
      <c r="E121" s="8">
        <v>3102</v>
      </c>
      <c r="F121" s="8">
        <v>3499</v>
      </c>
      <c r="G121" s="8">
        <v>2706</v>
      </c>
      <c r="H121" s="8">
        <v>3751</v>
      </c>
      <c r="I121" s="8">
        <v>3478</v>
      </c>
      <c r="J121" s="8">
        <v>4017</v>
      </c>
      <c r="K121" s="8">
        <v>4839</v>
      </c>
      <c r="L121" s="8">
        <v>5973</v>
      </c>
      <c r="M121" s="8">
        <v>6916.458333333333</v>
      </c>
      <c r="N121" s="8">
        <v>7764.76</v>
      </c>
    </row>
    <row r="122" spans="1:14" x14ac:dyDescent="0.25">
      <c r="A122" s="6" t="s">
        <v>17</v>
      </c>
      <c r="B122" s="7"/>
      <c r="C122" s="7"/>
      <c r="D122" s="7"/>
      <c r="E122" s="8"/>
      <c r="F122" s="8"/>
      <c r="G122" s="8"/>
      <c r="H122" s="8"/>
      <c r="I122" s="8"/>
      <c r="J122" s="8"/>
      <c r="K122" s="8"/>
      <c r="L122" s="8"/>
      <c r="M122" s="8"/>
      <c r="N122" s="8"/>
    </row>
    <row r="123" spans="1:14" x14ac:dyDescent="0.25">
      <c r="A123" s="6" t="s">
        <v>163</v>
      </c>
      <c r="B123" s="7" t="s">
        <v>164</v>
      </c>
      <c r="C123" s="7" t="s">
        <v>165</v>
      </c>
      <c r="D123" s="7"/>
      <c r="E123" s="8">
        <v>2503</v>
      </c>
      <c r="F123" s="8">
        <v>2800</v>
      </c>
      <c r="G123" s="8">
        <v>1917</v>
      </c>
      <c r="H123" s="8">
        <v>3010</v>
      </c>
      <c r="I123" s="8">
        <v>3241</v>
      </c>
      <c r="J123" s="8">
        <v>3738</v>
      </c>
      <c r="K123" s="8">
        <v>4529</v>
      </c>
      <c r="L123" s="8">
        <v>5612</v>
      </c>
      <c r="M123" s="8">
        <v>6359.6538461538457</v>
      </c>
      <c r="N123" s="8">
        <v>7155.6</v>
      </c>
    </row>
    <row r="124" spans="1:14" x14ac:dyDescent="0.25">
      <c r="A124" s="6" t="s">
        <v>166</v>
      </c>
      <c r="B124" s="7" t="s">
        <v>50</v>
      </c>
      <c r="C124" s="7" t="s">
        <v>51</v>
      </c>
      <c r="D124" s="7"/>
      <c r="E124" s="8">
        <v>25.5</v>
      </c>
      <c r="F124" s="8">
        <v>26.1</v>
      </c>
      <c r="G124" s="8">
        <v>19.3</v>
      </c>
      <c r="H124" s="8">
        <v>25.3</v>
      </c>
      <c r="I124" s="8">
        <v>25.6</v>
      </c>
      <c r="J124" s="8">
        <v>26.3</v>
      </c>
      <c r="K124" s="8">
        <v>27</v>
      </c>
      <c r="L124" s="8">
        <v>28</v>
      </c>
      <c r="M124" s="8">
        <v>28.452402816049595</v>
      </c>
      <c r="N124" s="8">
        <v>28.98955870525629</v>
      </c>
    </row>
    <row r="125" spans="1:14" x14ac:dyDescent="0.25">
      <c r="A125" s="6" t="s">
        <v>17</v>
      </c>
      <c r="B125" s="7"/>
      <c r="C125" s="7"/>
      <c r="D125" s="7"/>
      <c r="E125" s="8"/>
      <c r="F125" s="8"/>
      <c r="G125" s="8"/>
      <c r="H125" s="8"/>
      <c r="I125" s="8"/>
      <c r="J125" s="8"/>
      <c r="K125" s="8"/>
      <c r="L125" s="8"/>
      <c r="M125" s="8"/>
      <c r="N125" s="8"/>
    </row>
    <row r="126" spans="1:14" x14ac:dyDescent="0.25">
      <c r="A126" s="6" t="s">
        <v>1330</v>
      </c>
      <c r="B126" s="7" t="s">
        <v>612</v>
      </c>
      <c r="C126" s="7" t="s">
        <v>611</v>
      </c>
      <c r="D126" s="7"/>
      <c r="E126" s="8">
        <v>-55</v>
      </c>
      <c r="F126" s="8">
        <v>65</v>
      </c>
      <c r="G126" s="8">
        <v>-68</v>
      </c>
      <c r="H126" s="8">
        <v>83</v>
      </c>
      <c r="I126" s="8">
        <v>86</v>
      </c>
      <c r="J126" s="8">
        <v>66</v>
      </c>
      <c r="K126" s="8">
        <v>-4</v>
      </c>
      <c r="L126" s="8">
        <v>81</v>
      </c>
      <c r="M126" s="8">
        <v>70.71153149427083</v>
      </c>
      <c r="N126" s="8">
        <v>60.499095181125007</v>
      </c>
    </row>
    <row r="127" spans="1:14" x14ac:dyDescent="0.25">
      <c r="A127" s="6" t="s">
        <v>182</v>
      </c>
      <c r="B127" s="7" t="s">
        <v>183</v>
      </c>
      <c r="C127" s="7" t="s">
        <v>184</v>
      </c>
      <c r="D127" s="7"/>
      <c r="E127" s="8">
        <v>2209</v>
      </c>
      <c r="F127" s="8">
        <v>2409</v>
      </c>
      <c r="G127" s="8">
        <v>1488</v>
      </c>
      <c r="H127" s="8">
        <v>2587</v>
      </c>
      <c r="I127" s="8">
        <v>2880</v>
      </c>
      <c r="J127" s="8">
        <v>3407</v>
      </c>
      <c r="K127" s="8">
        <v>4229</v>
      </c>
      <c r="L127" s="8">
        <v>5182</v>
      </c>
      <c r="M127" s="8">
        <v>5921.16</v>
      </c>
      <c r="N127" s="8">
        <v>6734.16</v>
      </c>
    </row>
    <row r="128" spans="1:14" x14ac:dyDescent="0.25">
      <c r="A128" s="6" t="s">
        <v>610</v>
      </c>
      <c r="B128" s="7" t="s">
        <v>609</v>
      </c>
      <c r="C128" s="7" t="s">
        <v>608</v>
      </c>
      <c r="D128" s="7"/>
      <c r="E128" s="8">
        <v>22.488038277511961</v>
      </c>
      <c r="F128" s="8">
        <v>22.440614811364696</v>
      </c>
      <c r="G128" s="8">
        <v>15.010592151719965</v>
      </c>
      <c r="H128" s="8">
        <v>21.7614401076716</v>
      </c>
      <c r="I128" s="8">
        <v>22.709351837249645</v>
      </c>
      <c r="J128" s="8">
        <v>23.92556179775281</v>
      </c>
      <c r="K128" s="8">
        <v>25.252283991162592</v>
      </c>
      <c r="L128" s="8">
        <v>25.81448640031882</v>
      </c>
      <c r="M128" s="8">
        <v>25.747163423297344</v>
      </c>
      <c r="N128" s="8">
        <v>26.265438763257517</v>
      </c>
    </row>
    <row r="129" spans="1:14" x14ac:dyDescent="0.25">
      <c r="A129" s="6" t="s">
        <v>17</v>
      </c>
      <c r="B129" s="7"/>
      <c r="C129" s="7"/>
      <c r="D129" s="7"/>
      <c r="E129" s="8"/>
      <c r="F129" s="8"/>
      <c r="G129" s="8"/>
      <c r="H129" s="8"/>
      <c r="I129" s="8"/>
      <c r="J129" s="8"/>
      <c r="K129" s="8"/>
      <c r="L129" s="8"/>
      <c r="M129" s="8"/>
      <c r="N129" s="8"/>
    </row>
    <row r="130" spans="1:14" x14ac:dyDescent="0.25">
      <c r="A130" s="6" t="s">
        <v>185</v>
      </c>
      <c r="B130" s="7" t="s">
        <v>186</v>
      </c>
      <c r="C130" s="7" t="s">
        <v>187</v>
      </c>
      <c r="D130" s="7"/>
      <c r="E130" s="8">
        <v>149</v>
      </c>
      <c r="F130" s="8">
        <v>176</v>
      </c>
      <c r="G130" s="8">
        <v>77</v>
      </c>
      <c r="H130" s="8">
        <v>196</v>
      </c>
      <c r="I130" s="8">
        <v>366</v>
      </c>
      <c r="J130" s="8">
        <v>382</v>
      </c>
      <c r="K130" s="8">
        <v>502</v>
      </c>
      <c r="L130" s="8">
        <v>605</v>
      </c>
      <c r="M130" s="8">
        <v>742.72810625364605</v>
      </c>
      <c r="N130" s="8">
        <v>850.87708543272834</v>
      </c>
    </row>
    <row r="131" spans="1:14" x14ac:dyDescent="0.25">
      <c r="A131" s="6" t="s">
        <v>17</v>
      </c>
      <c r="B131" s="7"/>
      <c r="C131" s="7"/>
      <c r="D131" s="7"/>
      <c r="E131" s="8"/>
      <c r="F131" s="8"/>
      <c r="G131" s="8"/>
      <c r="H131" s="8"/>
      <c r="I131" s="8"/>
      <c r="J131" s="8"/>
      <c r="K131" s="8"/>
      <c r="L131" s="8"/>
      <c r="M131" s="8"/>
      <c r="N131" s="8"/>
    </row>
    <row r="132" spans="1:14" x14ac:dyDescent="0.25">
      <c r="A132" s="6" t="s">
        <v>191</v>
      </c>
      <c r="B132" s="7" t="s">
        <v>53</v>
      </c>
      <c r="C132" s="7" t="s">
        <v>54</v>
      </c>
      <c r="D132" s="7"/>
      <c r="E132" s="8">
        <v>2060</v>
      </c>
      <c r="F132" s="8">
        <v>2234</v>
      </c>
      <c r="G132" s="8">
        <v>1378</v>
      </c>
      <c r="H132" s="8">
        <v>2336</v>
      </c>
      <c r="I132" s="8">
        <v>2459</v>
      </c>
      <c r="J132" s="8">
        <v>2999</v>
      </c>
      <c r="K132" s="8">
        <v>3725</v>
      </c>
      <c r="L132" s="8">
        <v>4574</v>
      </c>
      <c r="M132" s="8">
        <v>5189.7241379310344</v>
      </c>
      <c r="N132" s="8">
        <v>5868.1612903225805</v>
      </c>
    </row>
    <row r="133" spans="1:14" x14ac:dyDescent="0.25">
      <c r="A133" s="6" t="s">
        <v>192</v>
      </c>
      <c r="B133" s="7" t="s">
        <v>193</v>
      </c>
      <c r="C133" s="7" t="s">
        <v>194</v>
      </c>
      <c r="D133" s="7"/>
      <c r="E133" s="8">
        <v>20.971190064135193</v>
      </c>
      <c r="F133" s="8">
        <v>20.8104331625524</v>
      </c>
      <c r="G133" s="8">
        <v>13.900938162009483</v>
      </c>
      <c r="H133" s="8">
        <v>19.650067294751008</v>
      </c>
      <c r="I133" s="8">
        <v>19.389686169373917</v>
      </c>
      <c r="J133" s="8">
        <v>21.060393258426966</v>
      </c>
      <c r="K133" s="8">
        <v>22.242789753388667</v>
      </c>
      <c r="L133" s="8">
        <v>22.785692936136297</v>
      </c>
      <c r="M133" s="8">
        <v>23.337801344225483</v>
      </c>
      <c r="N133" s="8">
        <v>23.863361894622635</v>
      </c>
    </row>
    <row r="134" spans="1:14" x14ac:dyDescent="0.25">
      <c r="A134" s="6" t="s">
        <v>17</v>
      </c>
      <c r="B134" s="7"/>
      <c r="C134" s="7"/>
      <c r="D134" s="7"/>
      <c r="E134" s="8"/>
      <c r="F134" s="8"/>
      <c r="G134" s="8"/>
      <c r="H134" s="8"/>
      <c r="I134" s="8"/>
      <c r="J134" s="8"/>
      <c r="K134" s="8"/>
      <c r="L134" s="8"/>
      <c r="M134" s="8"/>
      <c r="N134" s="8"/>
    </row>
    <row r="135" spans="1:14" x14ac:dyDescent="0.25">
      <c r="A135" s="6" t="s">
        <v>198</v>
      </c>
      <c r="B135" s="7" t="s">
        <v>199</v>
      </c>
      <c r="C135" s="7" t="s">
        <v>200</v>
      </c>
      <c r="D135" s="7"/>
      <c r="E135" s="8">
        <v>1401.4</v>
      </c>
      <c r="F135" s="8">
        <v>1410.6</v>
      </c>
      <c r="G135" s="8">
        <v>1430.5</v>
      </c>
      <c r="H135" s="8">
        <v>1433.8</v>
      </c>
      <c r="I135" s="8">
        <v>1439.7</v>
      </c>
      <c r="J135" s="8">
        <v>1463.5</v>
      </c>
      <c r="K135" s="8">
        <v>1485.9</v>
      </c>
      <c r="L135" s="8">
        <v>1494.5</v>
      </c>
      <c r="M135" s="8">
        <v>1496.4901127837193</v>
      </c>
      <c r="N135" s="8">
        <v>1498.1378882730673</v>
      </c>
    </row>
    <row r="136" spans="1:14" x14ac:dyDescent="0.25">
      <c r="A136" s="6" t="s">
        <v>201</v>
      </c>
      <c r="B136" s="7" t="s">
        <v>9</v>
      </c>
      <c r="C136" s="7" t="s">
        <v>10</v>
      </c>
      <c r="D136" s="7"/>
      <c r="E136" s="8">
        <v>1.47</v>
      </c>
      <c r="F136" s="8">
        <v>1.58</v>
      </c>
      <c r="G136" s="8">
        <v>0.96</v>
      </c>
      <c r="H136" s="8">
        <v>1.63</v>
      </c>
      <c r="I136" s="8">
        <v>1.71</v>
      </c>
      <c r="J136" s="8">
        <v>2.0499999999999998</v>
      </c>
      <c r="K136" s="8">
        <v>2.5099999999999998</v>
      </c>
      <c r="L136" s="8">
        <v>3.06</v>
      </c>
      <c r="M136" s="8">
        <v>3.4640624999999998</v>
      </c>
      <c r="N136" s="8">
        <v>3.9132258064516141</v>
      </c>
    </row>
    <row r="137" spans="1:14" x14ac:dyDescent="0.25">
      <c r="A137" s="6" t="s">
        <v>17</v>
      </c>
      <c r="B137" s="7"/>
      <c r="C137" s="7"/>
      <c r="D137" s="7"/>
      <c r="E137" s="8"/>
      <c r="F137" s="8"/>
      <c r="G137" s="8"/>
      <c r="H137" s="8"/>
      <c r="I137" s="8"/>
      <c r="J137" s="8"/>
      <c r="K137" s="8"/>
      <c r="L137" s="8"/>
      <c r="M137" s="8"/>
      <c r="N137" s="8"/>
    </row>
    <row r="138" spans="1:14" x14ac:dyDescent="0.25">
      <c r="A138" s="6" t="s">
        <v>604</v>
      </c>
      <c r="B138" s="7" t="s">
        <v>1329</v>
      </c>
      <c r="C138" s="7" t="s">
        <v>1328</v>
      </c>
      <c r="D138" s="7"/>
      <c r="E138" s="8">
        <v>0</v>
      </c>
      <c r="F138" s="8">
        <v>0</v>
      </c>
      <c r="G138" s="8">
        <v>0</v>
      </c>
      <c r="H138" s="8">
        <v>0</v>
      </c>
      <c r="I138" s="8">
        <v>0</v>
      </c>
      <c r="J138" s="8">
        <v>0</v>
      </c>
      <c r="K138" s="8">
        <v>0</v>
      </c>
      <c r="L138" s="8">
        <v>0</v>
      </c>
      <c r="M138" s="8">
        <v>0</v>
      </c>
      <c r="N138" s="8">
        <v>0</v>
      </c>
    </row>
    <row r="139" spans="1:14" x14ac:dyDescent="0.25">
      <c r="A139" s="6" t="s">
        <v>17</v>
      </c>
      <c r="B139" s="7"/>
      <c r="C139" s="7"/>
      <c r="D139" s="7"/>
      <c r="E139" s="8"/>
      <c r="F139" s="8"/>
      <c r="G139" s="8"/>
      <c r="H139" s="8"/>
      <c r="I139" s="8"/>
      <c r="J139" s="8"/>
      <c r="K139" s="8"/>
      <c r="L139" s="8"/>
      <c r="M139" s="8"/>
      <c r="N139" s="8"/>
    </row>
    <row r="140" spans="1:14" x14ac:dyDescent="0.25">
      <c r="A140" s="6" t="s">
        <v>205</v>
      </c>
      <c r="B140" s="7"/>
      <c r="C140" s="7"/>
      <c r="D140" s="7"/>
      <c r="E140" s="8"/>
      <c r="F140" s="8"/>
      <c r="G140" s="8"/>
      <c r="H140" s="8"/>
      <c r="I140" s="8"/>
      <c r="J140" s="8"/>
      <c r="K140" s="8"/>
      <c r="L140" s="8"/>
      <c r="M140" s="8"/>
      <c r="N140" s="8"/>
    </row>
    <row r="141" spans="1:14" x14ac:dyDescent="0.25">
      <c r="A141" s="6" t="s">
        <v>603</v>
      </c>
      <c r="B141" s="7" t="s">
        <v>207</v>
      </c>
      <c r="C141" s="7" t="s">
        <v>208</v>
      </c>
      <c r="D141" s="7"/>
      <c r="E141" s="8">
        <v>2812</v>
      </c>
      <c r="F141" s="8">
        <v>3115</v>
      </c>
      <c r="G141" s="8">
        <v>3465</v>
      </c>
      <c r="H141" s="8">
        <v>3711</v>
      </c>
      <c r="I141" s="8">
        <v>3955</v>
      </c>
      <c r="J141" s="8">
        <v>4344</v>
      </c>
      <c r="K141" s="8">
        <v>5257</v>
      </c>
      <c r="L141" s="8">
        <v>6221</v>
      </c>
      <c r="M141" s="8">
        <v>6718.6655997419848</v>
      </c>
      <c r="N141" s="8">
        <v>7329.2540160560911</v>
      </c>
    </row>
    <row r="142" spans="1:14" x14ac:dyDescent="0.25">
      <c r="A142" s="6" t="s">
        <v>211</v>
      </c>
      <c r="B142" s="7" t="s">
        <v>212</v>
      </c>
      <c r="C142" s="7" t="s">
        <v>213</v>
      </c>
      <c r="D142" s="7"/>
      <c r="E142" s="8">
        <v>7011</v>
      </c>
      <c r="F142" s="8">
        <v>7620</v>
      </c>
      <c r="G142" s="8">
        <v>6448</v>
      </c>
      <c r="H142" s="8">
        <v>8177</v>
      </c>
      <c r="I142" s="8">
        <v>8727</v>
      </c>
      <c r="J142" s="8">
        <v>9896</v>
      </c>
      <c r="K142" s="8">
        <v>11490</v>
      </c>
      <c r="L142" s="8">
        <v>13853</v>
      </c>
      <c r="M142" s="8">
        <v>15559.185495226726</v>
      </c>
      <c r="N142" s="8">
        <v>17283.025995367349</v>
      </c>
    </row>
    <row r="143" spans="1:14" x14ac:dyDescent="0.25">
      <c r="A143" s="6" t="s">
        <v>214</v>
      </c>
      <c r="B143" s="7" t="s">
        <v>215</v>
      </c>
      <c r="C143" s="7" t="s">
        <v>216</v>
      </c>
      <c r="D143" s="7"/>
      <c r="E143" s="8">
        <v>5504</v>
      </c>
      <c r="F143" s="8">
        <v>6102</v>
      </c>
      <c r="G143" s="8">
        <v>6528</v>
      </c>
      <c r="H143" s="8">
        <v>6978</v>
      </c>
      <c r="I143" s="8">
        <v>7078</v>
      </c>
      <c r="J143" s="8">
        <v>7553</v>
      </c>
      <c r="K143" s="8">
        <v>8887</v>
      </c>
      <c r="L143" s="8">
        <v>10241</v>
      </c>
      <c r="M143" s="8">
        <v>10480.052613094713</v>
      </c>
      <c r="N143" s="8">
        <v>11312.419412386698</v>
      </c>
    </row>
    <row r="144" spans="1:14" x14ac:dyDescent="0.25">
      <c r="A144" s="6" t="s">
        <v>225</v>
      </c>
      <c r="B144" s="7" t="s">
        <v>226</v>
      </c>
      <c r="C144" s="7" t="s">
        <v>227</v>
      </c>
      <c r="D144" s="7"/>
      <c r="E144" s="8">
        <v>1113</v>
      </c>
      <c r="F144" s="8">
        <v>1174</v>
      </c>
      <c r="G144" s="8">
        <v>1143</v>
      </c>
      <c r="H144" s="8">
        <v>1204</v>
      </c>
      <c r="I144" s="8">
        <v>1323</v>
      </c>
      <c r="J144" s="8">
        <v>1414</v>
      </c>
      <c r="K144" s="8">
        <v>1615</v>
      </c>
      <c r="L144" s="8">
        <v>2052</v>
      </c>
      <c r="M144" s="8">
        <v>2173.1862181103634</v>
      </c>
      <c r="N144" s="8">
        <v>2366.7674511613695</v>
      </c>
    </row>
    <row r="145" spans="1:14" x14ac:dyDescent="0.25">
      <c r="A145" s="6" t="s">
        <v>222</v>
      </c>
      <c r="B145" s="7" t="s">
        <v>601</v>
      </c>
      <c r="C145" s="7" t="s">
        <v>600</v>
      </c>
      <c r="D145" s="7"/>
      <c r="E145" s="8">
        <v>11.330550748243917</v>
      </c>
      <c r="F145" s="8">
        <v>10.936190032603633</v>
      </c>
      <c r="G145" s="8">
        <v>11.530313729446181</v>
      </c>
      <c r="H145" s="8">
        <v>10.127860026917901</v>
      </c>
      <c r="I145" s="8">
        <v>10.432108500236556</v>
      </c>
      <c r="J145" s="8">
        <v>9.9297752808988768</v>
      </c>
      <c r="K145" s="8">
        <v>9.6435182420732062</v>
      </c>
      <c r="L145" s="8">
        <v>10.222177941616021</v>
      </c>
      <c r="M145" s="8">
        <v>9.8071428571428552</v>
      </c>
      <c r="N145" s="8">
        <v>9.6</v>
      </c>
    </row>
    <row r="146" spans="1:14" x14ac:dyDescent="0.25">
      <c r="A146" s="6" t="s">
        <v>1327</v>
      </c>
      <c r="B146" s="7" t="s">
        <v>220</v>
      </c>
      <c r="C146" s="7" t="s">
        <v>221</v>
      </c>
      <c r="D146" s="7"/>
      <c r="E146" s="8">
        <v>3569</v>
      </c>
      <c r="F146" s="8">
        <v>3941</v>
      </c>
      <c r="G146" s="8">
        <v>3787</v>
      </c>
      <c r="H146" s="8">
        <v>4359</v>
      </c>
      <c r="I146" s="8">
        <v>4520</v>
      </c>
      <c r="J146" s="8">
        <v>5190</v>
      </c>
      <c r="K146" s="8">
        <v>5984</v>
      </c>
      <c r="L146" s="8">
        <v>6887</v>
      </c>
      <c r="M146" s="8">
        <v>7431.0486129407409</v>
      </c>
      <c r="N146" s="8">
        <v>8129.9332168663304</v>
      </c>
    </row>
    <row r="147" spans="1:14" x14ac:dyDescent="0.25">
      <c r="A147" s="6" t="s">
        <v>1326</v>
      </c>
      <c r="B147" s="7" t="s">
        <v>223</v>
      </c>
      <c r="C147" s="7" t="s">
        <v>224</v>
      </c>
      <c r="D147" s="7"/>
      <c r="E147" s="8">
        <v>36.333095795581798</v>
      </c>
      <c r="F147" s="8">
        <v>36.711690731252908</v>
      </c>
      <c r="G147" s="8">
        <v>38.202360536669019</v>
      </c>
      <c r="H147" s="8">
        <v>36.667227456258409</v>
      </c>
      <c r="I147" s="8">
        <v>35.641066077905691</v>
      </c>
      <c r="J147" s="8">
        <v>36.446629213483149</v>
      </c>
      <c r="K147" s="8">
        <v>35.731772854839676</v>
      </c>
      <c r="L147" s="8">
        <v>34.308060177343826</v>
      </c>
      <c r="M147" s="8">
        <v>33.19</v>
      </c>
      <c r="N147" s="8">
        <v>32.9</v>
      </c>
    </row>
    <row r="148" spans="1:14" x14ac:dyDescent="0.25">
      <c r="A148" s="6" t="s">
        <v>228</v>
      </c>
      <c r="B148" s="7" t="s">
        <v>229</v>
      </c>
      <c r="C148" s="7" t="s">
        <v>230</v>
      </c>
      <c r="D148" s="7"/>
      <c r="E148" s="8">
        <v>1506</v>
      </c>
      <c r="F148" s="8">
        <v>1518</v>
      </c>
      <c r="G148" s="8">
        <v>-80</v>
      </c>
      <c r="H148" s="8">
        <v>1199</v>
      </c>
      <c r="I148" s="8">
        <v>1649</v>
      </c>
      <c r="J148" s="8">
        <v>2343</v>
      </c>
      <c r="K148" s="8">
        <v>2603</v>
      </c>
      <c r="L148" s="8">
        <v>3613</v>
      </c>
      <c r="M148" s="8">
        <v>4801.492827328103</v>
      </c>
      <c r="N148" s="8">
        <v>5604.0562578277013</v>
      </c>
    </row>
    <row r="149" spans="1:14" x14ac:dyDescent="0.25">
      <c r="A149" s="6" t="s">
        <v>1149</v>
      </c>
      <c r="B149" s="7" t="s">
        <v>618</v>
      </c>
      <c r="C149" s="7" t="s">
        <v>617</v>
      </c>
      <c r="D149" s="7"/>
      <c r="E149" s="8">
        <v>241</v>
      </c>
      <c r="F149" s="8">
        <v>473</v>
      </c>
      <c r="G149" s="8">
        <v>361</v>
      </c>
      <c r="H149" s="8">
        <v>341</v>
      </c>
      <c r="I149" s="8">
        <v>470</v>
      </c>
      <c r="J149" s="8">
        <v>265</v>
      </c>
      <c r="K149" s="8">
        <v>305</v>
      </c>
      <c r="L149" s="8">
        <v>349</v>
      </c>
      <c r="M149" s="8">
        <v>352.76097078687968</v>
      </c>
      <c r="N149" s="8">
        <v>321.44929719794538</v>
      </c>
    </row>
    <row r="150" spans="1:14" x14ac:dyDescent="0.25">
      <c r="A150" s="6" t="s">
        <v>1148</v>
      </c>
      <c r="B150" s="7" t="s">
        <v>615</v>
      </c>
      <c r="C150" s="7" t="s">
        <v>614</v>
      </c>
      <c r="D150" s="7"/>
      <c r="E150" s="8">
        <v>3</v>
      </c>
      <c r="F150" s="8">
        <v>30</v>
      </c>
      <c r="G150" s="8">
        <v>3</v>
      </c>
      <c r="H150" s="8">
        <v>4</v>
      </c>
      <c r="I150" s="8">
        <v>10</v>
      </c>
      <c r="J150" s="8">
        <v>22</v>
      </c>
      <c r="K150" s="8">
        <v>107</v>
      </c>
      <c r="L150" s="8">
        <v>29</v>
      </c>
      <c r="M150" s="8">
        <v>78.963961901978863</v>
      </c>
      <c r="N150" s="8">
        <v>117.66458342220669</v>
      </c>
    </row>
    <row r="151" spans="1:14" x14ac:dyDescent="0.25">
      <c r="A151" s="6" t="s">
        <v>1325</v>
      </c>
      <c r="B151" s="7" t="s">
        <v>1324</v>
      </c>
      <c r="C151" s="7" t="s">
        <v>1323</v>
      </c>
      <c r="D151" s="7"/>
      <c r="E151" s="8">
        <v>-157</v>
      </c>
      <c r="F151" s="8">
        <v>358</v>
      </c>
      <c r="G151" s="8">
        <v>-362</v>
      </c>
      <c r="H151" s="8">
        <v>-218</v>
      </c>
      <c r="I151" s="8">
        <v>38</v>
      </c>
      <c r="J151" s="8">
        <v>93</v>
      </c>
      <c r="K151" s="8">
        <v>16</v>
      </c>
      <c r="L151" s="8">
        <v>-121</v>
      </c>
      <c r="M151" s="8">
        <v>89.75</v>
      </c>
      <c r="N151" s="8">
        <v>76.666666666666671</v>
      </c>
    </row>
    <row r="152" spans="1:14" x14ac:dyDescent="0.25">
      <c r="A152" s="6" t="s">
        <v>1129</v>
      </c>
      <c r="B152" s="7" t="s">
        <v>235</v>
      </c>
      <c r="C152" s="7" t="s">
        <v>236</v>
      </c>
      <c r="D152" s="7"/>
      <c r="E152" s="8">
        <v>1422</v>
      </c>
      <c r="F152" s="8">
        <v>687</v>
      </c>
      <c r="G152" s="8">
        <v>-79</v>
      </c>
      <c r="H152" s="8">
        <v>1076</v>
      </c>
      <c r="I152" s="8">
        <v>1141</v>
      </c>
      <c r="J152" s="8">
        <v>1985</v>
      </c>
      <c r="K152" s="8">
        <v>2282</v>
      </c>
      <c r="L152" s="8">
        <v>3385</v>
      </c>
      <c r="M152" s="8">
        <v>4459.2181236084225</v>
      </c>
      <c r="N152" s="8">
        <v>5363.2080170689733</v>
      </c>
    </row>
    <row r="153" spans="1:14" x14ac:dyDescent="0.25">
      <c r="A153" s="6" t="s">
        <v>237</v>
      </c>
      <c r="B153" s="7" t="s">
        <v>238</v>
      </c>
      <c r="C153" s="7" t="s">
        <v>239</v>
      </c>
      <c r="D153" s="7"/>
      <c r="E153" s="8">
        <v>-249</v>
      </c>
      <c r="F153" s="8">
        <v>-4013</v>
      </c>
      <c r="G153" s="8">
        <v>3</v>
      </c>
      <c r="H153" s="8">
        <v>35</v>
      </c>
      <c r="I153" s="8">
        <v>443</v>
      </c>
      <c r="J153" s="8">
        <v>393</v>
      </c>
      <c r="K153" s="8">
        <v>436</v>
      </c>
      <c r="L153" s="8">
        <v>493</v>
      </c>
      <c r="M153" s="8">
        <v>641.52475453917452</v>
      </c>
      <c r="N153" s="8">
        <v>772.61881475900725</v>
      </c>
    </row>
    <row r="154" spans="1:14" x14ac:dyDescent="0.25">
      <c r="A154" s="6" t="s">
        <v>1322</v>
      </c>
      <c r="B154" s="7" t="s">
        <v>1321</v>
      </c>
      <c r="C154" s="7" t="s">
        <v>1320</v>
      </c>
      <c r="D154" s="7"/>
      <c r="E154" s="8">
        <v>1671</v>
      </c>
      <c r="F154" s="8">
        <v>4700</v>
      </c>
      <c r="G154" s="8">
        <v>-82</v>
      </c>
      <c r="H154" s="8">
        <v>1041</v>
      </c>
      <c r="I154" s="8">
        <v>698</v>
      </c>
      <c r="J154" s="8">
        <v>1592</v>
      </c>
      <c r="K154" s="8">
        <v>1846</v>
      </c>
      <c r="L154" s="8">
        <v>2892</v>
      </c>
      <c r="M154" s="8">
        <v>3774.7889367574653</v>
      </c>
      <c r="N154" s="8">
        <v>4468.9858257425321</v>
      </c>
    </row>
    <row r="155" spans="1:14" x14ac:dyDescent="0.25">
      <c r="A155" s="6" t="s">
        <v>240</v>
      </c>
      <c r="B155" s="7" t="s">
        <v>241</v>
      </c>
      <c r="C155" s="7" t="s">
        <v>242</v>
      </c>
      <c r="D155" s="7"/>
      <c r="E155" s="8">
        <v>1671</v>
      </c>
      <c r="F155" s="8">
        <v>4700</v>
      </c>
      <c r="G155" s="8">
        <v>-173</v>
      </c>
      <c r="H155" s="8">
        <v>985</v>
      </c>
      <c r="I155" s="8">
        <v>642</v>
      </c>
      <c r="J155" s="8">
        <v>1570</v>
      </c>
      <c r="K155" s="8">
        <v>1853</v>
      </c>
      <c r="L155" s="8">
        <v>2898</v>
      </c>
      <c r="M155" s="8">
        <v>3751.15</v>
      </c>
      <c r="N155" s="8">
        <v>4481</v>
      </c>
    </row>
    <row r="156" spans="1:14" x14ac:dyDescent="0.25">
      <c r="A156" s="6" t="s">
        <v>1319</v>
      </c>
      <c r="B156" s="7" t="s">
        <v>1318</v>
      </c>
      <c r="C156" s="7" t="s">
        <v>1317</v>
      </c>
      <c r="D156" s="7"/>
      <c r="E156" s="8">
        <v>0</v>
      </c>
      <c r="F156" s="8">
        <v>0</v>
      </c>
      <c r="G156" s="8">
        <v>33</v>
      </c>
      <c r="H156" s="8">
        <v>55</v>
      </c>
      <c r="I156" s="8">
        <v>55</v>
      </c>
      <c r="J156" s="8">
        <v>23</v>
      </c>
      <c r="K156" s="8">
        <v>0</v>
      </c>
      <c r="L156" s="8">
        <v>0</v>
      </c>
      <c r="M156" s="8">
        <v>0</v>
      </c>
      <c r="N156" s="8">
        <v>0</v>
      </c>
    </row>
    <row r="157" spans="1:14" x14ac:dyDescent="0.25">
      <c r="A157" s="6" t="s">
        <v>246</v>
      </c>
      <c r="B157" s="7" t="s">
        <v>247</v>
      </c>
      <c r="C157" s="7" t="s">
        <v>248</v>
      </c>
      <c r="D157" s="7"/>
      <c r="E157" s="8">
        <v>1.19</v>
      </c>
      <c r="F157" s="8">
        <v>3.33</v>
      </c>
      <c r="G157" s="8">
        <v>-0.12</v>
      </c>
      <c r="H157" s="8">
        <v>0.69</v>
      </c>
      <c r="I157" s="8">
        <v>0.45</v>
      </c>
      <c r="J157" s="8">
        <v>1.07</v>
      </c>
      <c r="K157" s="8">
        <v>1.25</v>
      </c>
      <c r="L157" s="8">
        <v>1.94</v>
      </c>
      <c r="M157" s="8">
        <v>2.5547058823529407</v>
      </c>
      <c r="N157" s="8">
        <v>3.0535294117647056</v>
      </c>
    </row>
    <row r="158" spans="1:14" x14ac:dyDescent="0.25">
      <c r="A158" s="6" t="s">
        <v>17</v>
      </c>
      <c r="B158" s="7"/>
      <c r="C158" s="7"/>
      <c r="D158" s="7"/>
      <c r="E158" s="8"/>
      <c r="F158" s="8"/>
      <c r="G158" s="8"/>
      <c r="H158" s="8"/>
      <c r="I158" s="8"/>
      <c r="J158" s="8"/>
      <c r="K158" s="8"/>
      <c r="L158" s="8"/>
      <c r="M158" s="8"/>
      <c r="N158" s="8"/>
    </row>
    <row r="159" spans="1:14" x14ac:dyDescent="0.25">
      <c r="A159" s="6" t="s">
        <v>249</v>
      </c>
      <c r="B159" s="7"/>
      <c r="C159" s="7"/>
      <c r="D159" s="7"/>
      <c r="E159" s="8"/>
      <c r="F159" s="8"/>
      <c r="G159" s="8"/>
      <c r="H159" s="8"/>
      <c r="I159" s="8"/>
      <c r="J159" s="8"/>
      <c r="K159" s="8"/>
      <c r="L159" s="8"/>
      <c r="M159" s="8"/>
      <c r="N159" s="8"/>
    </row>
    <row r="160" spans="1:14" x14ac:dyDescent="0.25">
      <c r="A160" s="6" t="s">
        <v>1316</v>
      </c>
      <c r="B160" s="7" t="s">
        <v>1315</v>
      </c>
      <c r="C160" s="7" t="s">
        <v>1314</v>
      </c>
      <c r="D160" s="7"/>
      <c r="E160" s="8">
        <v>63.587046581652807</v>
      </c>
      <c r="F160" s="8">
        <v>61.422765638346405</v>
      </c>
      <c r="G160" s="8">
        <v>145.05588850232212</v>
      </c>
      <c r="H160" s="8">
        <v>62.456189485720124</v>
      </c>
      <c r="I160" s="8">
        <v>56.23410916290112</v>
      </c>
      <c r="J160" s="8">
        <v>44.667920622768541</v>
      </c>
      <c r="K160" s="8">
        <v>34.610433750589777</v>
      </c>
      <c r="L160" s="8">
        <v>28.905384738712797</v>
      </c>
      <c r="M160" s="8" t="s">
        <v>1483</v>
      </c>
      <c r="N160" s="8" t="s">
        <v>1483</v>
      </c>
    </row>
    <row r="161" spans="1:14" x14ac:dyDescent="0.25">
      <c r="A161" s="6" t="s">
        <v>17</v>
      </c>
      <c r="B161" s="7"/>
      <c r="C161" s="7"/>
      <c r="D161" s="7"/>
      <c r="E161" s="8"/>
      <c r="F161" s="8"/>
      <c r="G161" s="8"/>
      <c r="H161" s="8"/>
      <c r="I161" s="8"/>
      <c r="J161" s="8"/>
      <c r="K161" s="8"/>
      <c r="L161" s="8"/>
      <c r="M161" s="8"/>
      <c r="N161" s="8"/>
    </row>
    <row r="162" spans="1:14" x14ac:dyDescent="0.25">
      <c r="A162" s="6" t="s">
        <v>253</v>
      </c>
      <c r="B162" s="7"/>
      <c r="C162" s="7"/>
      <c r="D162" s="7"/>
      <c r="E162" s="8"/>
      <c r="F162" s="8"/>
      <c r="G162" s="8"/>
      <c r="H162" s="8"/>
      <c r="I162" s="8"/>
      <c r="J162" s="8"/>
      <c r="K162" s="8"/>
      <c r="L162" s="8"/>
      <c r="M162" s="8"/>
      <c r="N162" s="8"/>
    </row>
    <row r="163" spans="1:14" x14ac:dyDescent="0.25">
      <c r="A163" s="6" t="s">
        <v>254</v>
      </c>
      <c r="B163" s="7"/>
      <c r="C163" s="7"/>
      <c r="D163" s="7"/>
      <c r="E163" s="8"/>
      <c r="F163" s="8"/>
      <c r="G163" s="8"/>
      <c r="H163" s="8"/>
      <c r="I163" s="8"/>
      <c r="J163" s="8"/>
      <c r="K163" s="8"/>
      <c r="L163" s="8"/>
      <c r="M163" s="8"/>
      <c r="N163" s="8"/>
    </row>
    <row r="164" spans="1:14" x14ac:dyDescent="0.25">
      <c r="A164" s="6" t="s">
        <v>255</v>
      </c>
      <c r="B164" s="7" t="s">
        <v>256</v>
      </c>
      <c r="C164" s="7" t="s">
        <v>257</v>
      </c>
      <c r="D164" s="7"/>
      <c r="E164" s="8">
        <v>4002</v>
      </c>
      <c r="F164" s="8">
        <v>4699</v>
      </c>
      <c r="G164" s="8">
        <v>6694</v>
      </c>
      <c r="H164" s="8">
        <v>6317</v>
      </c>
      <c r="I164" s="8">
        <v>5760</v>
      </c>
      <c r="J164" s="8">
        <v>6514</v>
      </c>
      <c r="K164" s="8">
        <v>6920</v>
      </c>
      <c r="L164" s="8">
        <v>8794</v>
      </c>
      <c r="M164" s="8">
        <v>13182.694465708904</v>
      </c>
      <c r="N164" s="8">
        <v>17248.94441897397</v>
      </c>
    </row>
    <row r="165" spans="1:14" x14ac:dyDescent="0.25">
      <c r="A165" s="6" t="s">
        <v>1111</v>
      </c>
      <c r="B165" s="7" t="s">
        <v>262</v>
      </c>
      <c r="C165" s="7" t="s">
        <v>263</v>
      </c>
      <c r="D165" s="7"/>
      <c r="E165" s="8">
        <v>146</v>
      </c>
      <c r="F165" s="8">
        <v>217</v>
      </c>
      <c r="G165" s="8">
        <v>1734</v>
      </c>
      <c r="H165" s="8">
        <v>1925</v>
      </c>
      <c r="I165" s="8">
        <v>928</v>
      </c>
      <c r="J165" s="8">
        <v>865</v>
      </c>
      <c r="K165" s="8">
        <v>414</v>
      </c>
      <c r="L165" s="8">
        <v>1965</v>
      </c>
      <c r="M165" s="8">
        <v>5017.6154217520125</v>
      </c>
      <c r="N165" s="8">
        <v>8169.3470749098351</v>
      </c>
    </row>
    <row r="166" spans="1:14" x14ac:dyDescent="0.25">
      <c r="A166" s="6" t="s">
        <v>267</v>
      </c>
      <c r="B166" s="7" t="s">
        <v>268</v>
      </c>
      <c r="C166" s="7" t="s">
        <v>269</v>
      </c>
      <c r="D166" s="7"/>
      <c r="E166" s="8">
        <v>1608</v>
      </c>
      <c r="F166" s="8">
        <v>1828</v>
      </c>
      <c r="G166" s="8">
        <v>1531</v>
      </c>
      <c r="H166" s="8">
        <v>1778</v>
      </c>
      <c r="I166" s="8">
        <v>1970</v>
      </c>
      <c r="J166" s="8">
        <v>2228</v>
      </c>
      <c r="K166" s="8">
        <v>2558</v>
      </c>
      <c r="L166" s="8">
        <v>2926</v>
      </c>
      <c r="M166" s="8" t="s">
        <v>1483</v>
      </c>
      <c r="N166" s="8" t="s">
        <v>1483</v>
      </c>
    </row>
    <row r="167" spans="1:14" x14ac:dyDescent="0.25">
      <c r="A167" s="6" t="s">
        <v>270</v>
      </c>
      <c r="B167" s="7" t="s">
        <v>271</v>
      </c>
      <c r="C167" s="7" t="s">
        <v>272</v>
      </c>
      <c r="D167" s="7"/>
      <c r="E167" s="8">
        <v>1166</v>
      </c>
      <c r="F167" s="8">
        <v>1579</v>
      </c>
      <c r="G167" s="8">
        <v>1351</v>
      </c>
      <c r="H167" s="8">
        <v>1610</v>
      </c>
      <c r="I167" s="8">
        <v>1867</v>
      </c>
      <c r="J167" s="8">
        <v>2485</v>
      </c>
      <c r="K167" s="8">
        <v>2810</v>
      </c>
      <c r="L167" s="8">
        <v>2944</v>
      </c>
      <c r="M167" s="8">
        <v>3418.3630571395097</v>
      </c>
      <c r="N167" s="8">
        <v>3672.0796375037307</v>
      </c>
    </row>
    <row r="168" spans="1:14" x14ac:dyDescent="0.25">
      <c r="A168" s="6" t="s">
        <v>1313</v>
      </c>
      <c r="B168" s="7" t="s">
        <v>274</v>
      </c>
      <c r="C168" s="7" t="s">
        <v>275</v>
      </c>
      <c r="D168" s="7"/>
      <c r="E168" s="8">
        <v>1082</v>
      </c>
      <c r="F168" s="8">
        <v>1075</v>
      </c>
      <c r="G168" s="8">
        <v>2078</v>
      </c>
      <c r="H168" s="8">
        <v>1004</v>
      </c>
      <c r="I168" s="8">
        <v>995</v>
      </c>
      <c r="J168" s="8">
        <v>936</v>
      </c>
      <c r="K168" s="8">
        <v>1138</v>
      </c>
      <c r="L168" s="8">
        <v>959</v>
      </c>
      <c r="M168" s="8">
        <v>1262.9914714687643</v>
      </c>
      <c r="N168" s="8">
        <v>1355.1251461081197</v>
      </c>
    </row>
    <row r="169" spans="1:14" x14ac:dyDescent="0.25">
      <c r="A169" s="6" t="s">
        <v>1312</v>
      </c>
      <c r="B169" s="7" t="s">
        <v>1311</v>
      </c>
      <c r="C169" s="7" t="s">
        <v>1310</v>
      </c>
      <c r="D169" s="7"/>
      <c r="E169" s="8">
        <v>161</v>
      </c>
      <c r="F169" s="8">
        <v>195</v>
      </c>
      <c r="G169" s="8">
        <v>194</v>
      </c>
      <c r="H169" s="8">
        <v>205</v>
      </c>
      <c r="I169" s="8">
        <v>264</v>
      </c>
      <c r="J169" s="8">
        <v>315</v>
      </c>
      <c r="K169" s="8">
        <v>307</v>
      </c>
      <c r="L169" s="8">
        <v>299</v>
      </c>
      <c r="M169" s="8">
        <v>315.70240206093104</v>
      </c>
      <c r="N169" s="8">
        <v>333.46110166091637</v>
      </c>
    </row>
    <row r="170" spans="1:14" x14ac:dyDescent="0.25">
      <c r="A170" s="6" t="s">
        <v>1309</v>
      </c>
      <c r="B170" s="7" t="s">
        <v>1308</v>
      </c>
      <c r="C170" s="7" t="s">
        <v>1307</v>
      </c>
      <c r="D170" s="7"/>
      <c r="E170" s="8">
        <v>921</v>
      </c>
      <c r="F170" s="8">
        <v>880</v>
      </c>
      <c r="G170" s="8">
        <v>751</v>
      </c>
      <c r="H170" s="8">
        <v>799</v>
      </c>
      <c r="I170" s="8">
        <v>731</v>
      </c>
      <c r="J170" s="8">
        <v>621</v>
      </c>
      <c r="K170" s="8">
        <v>831</v>
      </c>
      <c r="L170" s="8">
        <v>660</v>
      </c>
      <c r="M170" s="8">
        <v>875.06958507679656</v>
      </c>
      <c r="N170" s="8">
        <v>917.29960684237403</v>
      </c>
    </row>
    <row r="171" spans="1:14" x14ac:dyDescent="0.25">
      <c r="A171" s="6" t="s">
        <v>276</v>
      </c>
      <c r="B171" s="7" t="s">
        <v>277</v>
      </c>
      <c r="C171" s="7" t="s">
        <v>278</v>
      </c>
      <c r="D171" s="7"/>
      <c r="E171" s="8">
        <v>16997</v>
      </c>
      <c r="F171" s="8">
        <v>25866</v>
      </c>
      <c r="G171" s="8">
        <v>24083</v>
      </c>
      <c r="H171" s="8">
        <v>25912</v>
      </c>
      <c r="I171" s="8">
        <v>26709</v>
      </c>
      <c r="J171" s="8">
        <v>28622</v>
      </c>
      <c r="K171" s="8">
        <v>32475</v>
      </c>
      <c r="L171" s="8">
        <v>34879</v>
      </c>
      <c r="M171" s="8">
        <v>34167.950377094086</v>
      </c>
      <c r="N171" s="8">
        <v>34568.79331712798</v>
      </c>
    </row>
    <row r="172" spans="1:14" x14ac:dyDescent="0.25">
      <c r="A172" s="6" t="s">
        <v>1103</v>
      </c>
      <c r="B172" s="7" t="s">
        <v>280</v>
      </c>
      <c r="C172" s="7" t="s">
        <v>281</v>
      </c>
      <c r="D172" s="7"/>
      <c r="E172" s="8">
        <v>1782</v>
      </c>
      <c r="F172" s="8">
        <v>2079</v>
      </c>
      <c r="G172" s="8">
        <v>2084</v>
      </c>
      <c r="H172" s="8">
        <v>2252</v>
      </c>
      <c r="I172" s="8">
        <v>2446</v>
      </c>
      <c r="J172" s="8">
        <v>2859</v>
      </c>
      <c r="K172" s="8">
        <v>3294</v>
      </c>
      <c r="L172" s="8">
        <v>4036</v>
      </c>
      <c r="M172" s="8">
        <v>4223.1888419147554</v>
      </c>
      <c r="N172" s="8">
        <v>4548.6093264543915</v>
      </c>
    </row>
    <row r="173" spans="1:14" x14ac:dyDescent="0.25">
      <c r="A173" s="6" t="s">
        <v>282</v>
      </c>
      <c r="B173" s="7" t="s">
        <v>283</v>
      </c>
      <c r="C173" s="7" t="s">
        <v>284</v>
      </c>
      <c r="D173" s="7"/>
      <c r="E173" s="8">
        <v>4740</v>
      </c>
      <c r="F173" s="8">
        <v>5168</v>
      </c>
      <c r="G173" s="8">
        <v>5308</v>
      </c>
      <c r="H173" s="8">
        <v>5525</v>
      </c>
      <c r="I173" s="8">
        <v>5728</v>
      </c>
      <c r="J173" s="8">
        <v>6343</v>
      </c>
      <c r="K173" s="8">
        <v>6827</v>
      </c>
      <c r="L173" s="8">
        <v>7645</v>
      </c>
      <c r="M173" s="8">
        <v>8794.8056215726392</v>
      </c>
      <c r="N173" s="8">
        <v>9924.1626491741572</v>
      </c>
    </row>
    <row r="174" spans="1:14" x14ac:dyDescent="0.25">
      <c r="A174" s="6" t="s">
        <v>583</v>
      </c>
      <c r="B174" s="7" t="s">
        <v>289</v>
      </c>
      <c r="C174" s="7" t="s">
        <v>290</v>
      </c>
      <c r="D174" s="7"/>
      <c r="E174" s="8">
        <v>87</v>
      </c>
      <c r="F174" s="8">
        <v>4196</v>
      </c>
      <c r="G174" s="8">
        <v>4210</v>
      </c>
      <c r="H174" s="8">
        <v>4142</v>
      </c>
      <c r="I174" s="8">
        <v>3942</v>
      </c>
      <c r="J174" s="8">
        <v>3841</v>
      </c>
      <c r="K174" s="8">
        <v>3655</v>
      </c>
      <c r="L174" s="8">
        <v>3675</v>
      </c>
      <c r="M174" s="8">
        <v>3804.0925531803468</v>
      </c>
      <c r="N174" s="8">
        <v>4426.7707911985035</v>
      </c>
    </row>
    <row r="175" spans="1:14" x14ac:dyDescent="0.25">
      <c r="A175" s="6" t="s">
        <v>291</v>
      </c>
      <c r="B175" s="7" t="s">
        <v>292</v>
      </c>
      <c r="C175" s="7" t="s">
        <v>293</v>
      </c>
      <c r="D175" s="7"/>
      <c r="E175" s="8">
        <v>14283</v>
      </c>
      <c r="F175" s="8">
        <v>18062</v>
      </c>
      <c r="G175" s="8">
        <v>15868</v>
      </c>
      <c r="H175" s="8">
        <v>18109</v>
      </c>
      <c r="I175" s="8">
        <v>18822</v>
      </c>
      <c r="J175" s="8">
        <v>20391</v>
      </c>
      <c r="K175" s="8">
        <v>23773</v>
      </c>
      <c r="L175" s="8">
        <v>25302</v>
      </c>
      <c r="M175" s="8">
        <v>22729.097368421051</v>
      </c>
      <c r="N175" s="8">
        <v>22535.571052631582</v>
      </c>
    </row>
    <row r="176" spans="1:14" x14ac:dyDescent="0.25">
      <c r="A176" s="6" t="s">
        <v>294</v>
      </c>
      <c r="B176" s="7" t="s">
        <v>295</v>
      </c>
      <c r="C176" s="7" t="s">
        <v>296</v>
      </c>
      <c r="D176" s="7"/>
      <c r="E176" s="8">
        <v>7911</v>
      </c>
      <c r="F176" s="8">
        <v>10176</v>
      </c>
      <c r="G176" s="8">
        <v>9951</v>
      </c>
      <c r="H176" s="8">
        <v>11988</v>
      </c>
      <c r="I176" s="8">
        <v>12920</v>
      </c>
      <c r="J176" s="8">
        <v>14387</v>
      </c>
      <c r="K176" s="8">
        <v>17089</v>
      </c>
      <c r="L176" s="8">
        <v>18282</v>
      </c>
      <c r="M176" s="8">
        <v>18025.006976225854</v>
      </c>
      <c r="N176" s="8">
        <v>17949.897949795894</v>
      </c>
    </row>
    <row r="177" spans="1:14" x14ac:dyDescent="0.25">
      <c r="A177" s="6" t="s">
        <v>297</v>
      </c>
      <c r="B177" s="7" t="s">
        <v>298</v>
      </c>
      <c r="C177" s="7" t="s">
        <v>299</v>
      </c>
      <c r="D177" s="7"/>
      <c r="E177" s="8">
        <v>6372</v>
      </c>
      <c r="F177" s="8">
        <v>7886</v>
      </c>
      <c r="G177" s="8">
        <v>5917</v>
      </c>
      <c r="H177" s="8">
        <v>6121</v>
      </c>
      <c r="I177" s="8">
        <v>5902</v>
      </c>
      <c r="J177" s="8">
        <v>6004</v>
      </c>
      <c r="K177" s="8">
        <v>6684</v>
      </c>
      <c r="L177" s="8">
        <v>7020</v>
      </c>
      <c r="M177" s="8">
        <v>6167.3555330874951</v>
      </c>
      <c r="N177" s="8">
        <v>5428.9667386698902</v>
      </c>
    </row>
    <row r="178" spans="1:14" x14ac:dyDescent="0.25">
      <c r="A178" s="6" t="s">
        <v>558</v>
      </c>
      <c r="B178" s="7" t="s">
        <v>357</v>
      </c>
      <c r="C178" s="7" t="s">
        <v>358</v>
      </c>
      <c r="D178" s="7"/>
      <c r="E178" s="8">
        <v>33</v>
      </c>
      <c r="F178" s="8">
        <v>270</v>
      </c>
      <c r="G178" s="8">
        <v>206</v>
      </c>
      <c r="H178" s="8">
        <v>263</v>
      </c>
      <c r="I178" s="8">
        <v>269</v>
      </c>
      <c r="J178" s="8">
        <v>49</v>
      </c>
      <c r="K178" s="8">
        <v>275</v>
      </c>
      <c r="L178" s="8">
        <v>-610</v>
      </c>
      <c r="M178" s="8">
        <v>-464.8</v>
      </c>
      <c r="N178" s="8">
        <v>-480.47166666666817</v>
      </c>
    </row>
    <row r="179" spans="1:14" x14ac:dyDescent="0.25">
      <c r="A179" s="6" t="s">
        <v>98</v>
      </c>
      <c r="B179" s="7" t="s">
        <v>300</v>
      </c>
      <c r="C179" s="7" t="s">
        <v>301</v>
      </c>
      <c r="D179" s="7"/>
      <c r="E179" s="8">
        <v>845</v>
      </c>
      <c r="F179" s="8">
        <v>1529</v>
      </c>
      <c r="G179" s="8">
        <v>1921</v>
      </c>
      <c r="H179" s="8">
        <v>1410</v>
      </c>
      <c r="I179" s="8">
        <v>1500</v>
      </c>
      <c r="J179" s="8">
        <v>1531</v>
      </c>
      <c r="K179" s="8">
        <v>1752</v>
      </c>
      <c r="L179" s="8">
        <v>1867</v>
      </c>
      <c r="M179" s="8">
        <v>1892.7294685136621</v>
      </c>
      <c r="N179" s="8">
        <v>1927.3241412809748</v>
      </c>
    </row>
    <row r="180" spans="1:14" x14ac:dyDescent="0.25">
      <c r="A180" s="6" t="s">
        <v>302</v>
      </c>
      <c r="B180" s="7" t="s">
        <v>303</v>
      </c>
      <c r="C180" s="7" t="s">
        <v>304</v>
      </c>
      <c r="D180" s="7"/>
      <c r="E180" s="8">
        <v>20999</v>
      </c>
      <c r="F180" s="8">
        <v>30565</v>
      </c>
      <c r="G180" s="8">
        <v>30777</v>
      </c>
      <c r="H180" s="8">
        <v>32229</v>
      </c>
      <c r="I180" s="8">
        <v>32469</v>
      </c>
      <c r="J180" s="8">
        <v>35136</v>
      </c>
      <c r="K180" s="8">
        <v>39395</v>
      </c>
      <c r="L180" s="8">
        <v>43673</v>
      </c>
      <c r="M180" s="8">
        <v>47185.08237830118</v>
      </c>
      <c r="N180" s="8">
        <v>51251.831770591874</v>
      </c>
    </row>
    <row r="181" spans="1:14" x14ac:dyDescent="0.25">
      <c r="A181" s="6" t="s">
        <v>17</v>
      </c>
      <c r="B181" s="7"/>
      <c r="C181" s="7"/>
      <c r="D181" s="7"/>
      <c r="E181" s="8"/>
      <c r="F181" s="8"/>
      <c r="G181" s="8"/>
      <c r="H181" s="8"/>
      <c r="I181" s="8"/>
      <c r="J181" s="8"/>
      <c r="K181" s="8"/>
      <c r="L181" s="8"/>
      <c r="M181" s="8"/>
      <c r="N181" s="8"/>
    </row>
    <row r="182" spans="1:14" x14ac:dyDescent="0.25">
      <c r="A182" s="6" t="s">
        <v>305</v>
      </c>
      <c r="B182" s="7"/>
      <c r="C182" s="7"/>
      <c r="D182" s="7"/>
      <c r="E182" s="8"/>
      <c r="F182" s="8"/>
      <c r="G182" s="8"/>
      <c r="H182" s="8"/>
      <c r="I182" s="8"/>
      <c r="J182" s="8"/>
      <c r="K182" s="8"/>
      <c r="L182" s="8"/>
      <c r="M182" s="8"/>
      <c r="N182" s="8"/>
    </row>
    <row r="183" spans="1:14" x14ac:dyDescent="0.25">
      <c r="A183" s="6" t="s">
        <v>306</v>
      </c>
      <c r="B183" s="7" t="s">
        <v>307</v>
      </c>
      <c r="C183" s="7" t="s">
        <v>308</v>
      </c>
      <c r="D183" s="7"/>
      <c r="E183" s="8">
        <v>5260</v>
      </c>
      <c r="F183" s="8">
        <v>4866</v>
      </c>
      <c r="G183" s="8">
        <v>3681</v>
      </c>
      <c r="H183" s="8">
        <v>4274</v>
      </c>
      <c r="I183" s="8">
        <v>3803</v>
      </c>
      <c r="J183" s="8">
        <v>4933</v>
      </c>
      <c r="K183" s="8">
        <v>6399</v>
      </c>
      <c r="L183" s="8">
        <v>5439</v>
      </c>
      <c r="M183" s="8">
        <v>6290.1315905025385</v>
      </c>
      <c r="N183" s="8">
        <v>6629.7674817263041</v>
      </c>
    </row>
    <row r="184" spans="1:14" x14ac:dyDescent="0.25">
      <c r="A184" s="6" t="s">
        <v>309</v>
      </c>
      <c r="B184" s="7" t="s">
        <v>310</v>
      </c>
      <c r="C184" s="7" t="s">
        <v>311</v>
      </c>
      <c r="D184" s="7"/>
      <c r="E184" s="8">
        <v>349</v>
      </c>
      <c r="F184" s="8">
        <v>542</v>
      </c>
      <c r="G184" s="8">
        <v>513</v>
      </c>
      <c r="H184" s="8">
        <v>794</v>
      </c>
      <c r="I184" s="8">
        <v>862</v>
      </c>
      <c r="J184" s="8">
        <v>942</v>
      </c>
      <c r="K184" s="8">
        <v>960</v>
      </c>
      <c r="L184" s="8">
        <v>1144</v>
      </c>
      <c r="M184" s="8">
        <v>1227.4206464772126</v>
      </c>
      <c r="N184" s="8">
        <v>1296.2050656278368</v>
      </c>
    </row>
    <row r="185" spans="1:14" x14ac:dyDescent="0.25">
      <c r="A185" s="6" t="s">
        <v>1306</v>
      </c>
      <c r="B185" s="7" t="s">
        <v>1305</v>
      </c>
      <c r="C185" s="7" t="s">
        <v>1304</v>
      </c>
      <c r="D185" s="7"/>
      <c r="E185" s="8">
        <v>2246</v>
      </c>
      <c r="F185" s="8">
        <v>2109</v>
      </c>
      <c r="G185" s="8">
        <v>2197</v>
      </c>
      <c r="H185" s="8">
        <v>2436</v>
      </c>
      <c r="I185" s="8">
        <v>2160</v>
      </c>
      <c r="J185" s="8">
        <v>2646</v>
      </c>
      <c r="K185" s="8">
        <v>2773</v>
      </c>
      <c r="L185" s="8">
        <v>3201</v>
      </c>
      <c r="M185" s="8" t="s">
        <v>1483</v>
      </c>
      <c r="N185" s="8" t="s">
        <v>1483</v>
      </c>
    </row>
    <row r="186" spans="1:14" x14ac:dyDescent="0.25">
      <c r="A186" s="6" t="s">
        <v>324</v>
      </c>
      <c r="B186" s="7" t="s">
        <v>1303</v>
      </c>
      <c r="C186" s="7" t="s">
        <v>1302</v>
      </c>
      <c r="D186" s="7"/>
      <c r="E186" s="8">
        <v>2247</v>
      </c>
      <c r="F186" s="8">
        <v>1416</v>
      </c>
      <c r="G186" s="8">
        <v>13</v>
      </c>
      <c r="H186" s="8">
        <v>261</v>
      </c>
      <c r="I186" s="8">
        <v>20</v>
      </c>
      <c r="J186" s="8">
        <v>531</v>
      </c>
      <c r="K186" s="8">
        <v>1778</v>
      </c>
      <c r="L186" s="8">
        <v>299</v>
      </c>
      <c r="M186" s="8" t="s">
        <v>1483</v>
      </c>
      <c r="N186" s="8" t="s">
        <v>1483</v>
      </c>
    </row>
    <row r="187" spans="1:14" x14ac:dyDescent="0.25">
      <c r="A187" s="6" t="s">
        <v>573</v>
      </c>
      <c r="B187" s="7" t="s">
        <v>1301</v>
      </c>
      <c r="C187" s="7" t="s">
        <v>1300</v>
      </c>
      <c r="D187" s="7"/>
      <c r="E187" s="8">
        <v>412</v>
      </c>
      <c r="F187" s="8">
        <v>799</v>
      </c>
      <c r="G187" s="8">
        <v>958</v>
      </c>
      <c r="H187" s="8">
        <v>783</v>
      </c>
      <c r="I187" s="8">
        <v>761</v>
      </c>
      <c r="J187" s="8">
        <v>814</v>
      </c>
      <c r="K187" s="8">
        <v>888</v>
      </c>
      <c r="L187" s="8">
        <v>795</v>
      </c>
      <c r="M187" s="8">
        <v>1064.9068518740451</v>
      </c>
      <c r="N187" s="8">
        <v>1149.4632757696966</v>
      </c>
    </row>
    <row r="188" spans="1:14" x14ac:dyDescent="0.25">
      <c r="A188" s="6" t="s">
        <v>329</v>
      </c>
      <c r="B188" s="7"/>
      <c r="C188" s="7"/>
      <c r="D188" s="7"/>
      <c r="E188" s="8"/>
      <c r="F188" s="8"/>
      <c r="G188" s="8"/>
      <c r="H188" s="8"/>
      <c r="I188" s="8"/>
      <c r="J188" s="8"/>
      <c r="K188" s="8"/>
      <c r="L188" s="8"/>
      <c r="M188" s="8"/>
      <c r="N188" s="8"/>
    </row>
    <row r="189" spans="1:14" x14ac:dyDescent="0.25">
      <c r="A189" s="6" t="s">
        <v>330</v>
      </c>
      <c r="B189" s="7" t="s">
        <v>331</v>
      </c>
      <c r="C189" s="7" t="s">
        <v>332</v>
      </c>
      <c r="D189" s="7"/>
      <c r="E189" s="8">
        <v>4803</v>
      </c>
      <c r="F189" s="8">
        <v>8586</v>
      </c>
      <c r="G189" s="8">
        <v>9123</v>
      </c>
      <c r="H189" s="8">
        <v>8798</v>
      </c>
      <c r="I189" s="8">
        <v>8910</v>
      </c>
      <c r="J189" s="8">
        <v>8566</v>
      </c>
      <c r="K189" s="8">
        <v>8842</v>
      </c>
      <c r="L189" s="8">
        <v>11012</v>
      </c>
      <c r="M189" s="8" t="s">
        <v>1483</v>
      </c>
      <c r="N189" s="8" t="s">
        <v>1483</v>
      </c>
    </row>
    <row r="190" spans="1:14" x14ac:dyDescent="0.25">
      <c r="A190" s="6" t="s">
        <v>566</v>
      </c>
      <c r="B190" s="7" t="s">
        <v>565</v>
      </c>
      <c r="C190" s="7" t="s">
        <v>564</v>
      </c>
      <c r="D190" s="7"/>
      <c r="E190" s="8">
        <v>328</v>
      </c>
      <c r="F190" s="8">
        <v>595</v>
      </c>
      <c r="G190" s="8">
        <v>330</v>
      </c>
      <c r="H190" s="8">
        <v>310</v>
      </c>
      <c r="I190" s="8">
        <v>144</v>
      </c>
      <c r="J190" s="8">
        <v>134</v>
      </c>
      <c r="K190" s="8">
        <v>155</v>
      </c>
      <c r="L190" s="8">
        <v>220</v>
      </c>
      <c r="M190" s="8">
        <v>222.24523401662779</v>
      </c>
      <c r="N190" s="8">
        <v>229.53711317196124</v>
      </c>
    </row>
    <row r="191" spans="1:14" x14ac:dyDescent="0.25">
      <c r="A191" s="6" t="s">
        <v>333</v>
      </c>
      <c r="B191" s="7" t="s">
        <v>339</v>
      </c>
      <c r="C191" s="7" t="s">
        <v>340</v>
      </c>
      <c r="D191" s="7"/>
      <c r="E191" s="8">
        <v>1882</v>
      </c>
      <c r="F191" s="8">
        <v>2635</v>
      </c>
      <c r="G191" s="8">
        <v>2310</v>
      </c>
      <c r="H191" s="8">
        <v>2220</v>
      </c>
      <c r="I191" s="8">
        <v>2035</v>
      </c>
      <c r="J191" s="8">
        <v>1967</v>
      </c>
      <c r="K191" s="8">
        <v>1870</v>
      </c>
      <c r="L191" s="8">
        <v>2405</v>
      </c>
      <c r="M191" s="8">
        <v>2395.7709687513325</v>
      </c>
      <c r="N191" s="8">
        <v>2460.631280762937</v>
      </c>
    </row>
    <row r="192" spans="1:14" x14ac:dyDescent="0.25">
      <c r="A192" s="6" t="s">
        <v>341</v>
      </c>
      <c r="B192" s="7" t="s">
        <v>342</v>
      </c>
      <c r="C192" s="7" t="s">
        <v>343</v>
      </c>
      <c r="D192" s="7"/>
      <c r="E192" s="8">
        <v>12273</v>
      </c>
      <c r="F192" s="8">
        <v>16688</v>
      </c>
      <c r="G192" s="8">
        <v>15451</v>
      </c>
      <c r="H192" s="8">
        <v>15608</v>
      </c>
      <c r="I192" s="8">
        <v>14897</v>
      </c>
      <c r="J192" s="8">
        <v>15605</v>
      </c>
      <c r="K192" s="8">
        <v>17392</v>
      </c>
      <c r="L192" s="8">
        <v>19201</v>
      </c>
      <c r="M192" s="8">
        <v>19555.174238149517</v>
      </c>
      <c r="N192" s="8">
        <v>19661.461398119271</v>
      </c>
    </row>
    <row r="193" spans="1:14" x14ac:dyDescent="0.25">
      <c r="A193" s="6" t="s">
        <v>1299</v>
      </c>
      <c r="B193" s="7" t="s">
        <v>1298</v>
      </c>
      <c r="C193" s="7" t="s">
        <v>1297</v>
      </c>
      <c r="D193" s="7"/>
      <c r="E193" s="8">
        <v>0</v>
      </c>
      <c r="F193" s="8">
        <v>0</v>
      </c>
      <c r="G193" s="8">
        <v>0</v>
      </c>
      <c r="H193" s="8">
        <v>0</v>
      </c>
      <c r="I193" s="8">
        <v>0</v>
      </c>
      <c r="J193" s="8">
        <v>248</v>
      </c>
      <c r="K193" s="8">
        <v>233</v>
      </c>
      <c r="L193" s="8">
        <v>239</v>
      </c>
      <c r="M193" s="8">
        <v>235.75</v>
      </c>
      <c r="N193" s="8">
        <v>234.83333333333334</v>
      </c>
    </row>
    <row r="194" spans="1:14" x14ac:dyDescent="0.25">
      <c r="A194" s="6" t="s">
        <v>562</v>
      </c>
      <c r="B194" s="7" t="s">
        <v>345</v>
      </c>
      <c r="C194" s="7" t="s">
        <v>346</v>
      </c>
      <c r="D194" s="7"/>
      <c r="E194" s="8">
        <v>8726</v>
      </c>
      <c r="F194" s="8">
        <v>13877</v>
      </c>
      <c r="G194" s="8">
        <v>15326</v>
      </c>
      <c r="H194" s="8">
        <v>16621</v>
      </c>
      <c r="I194" s="8">
        <v>17574</v>
      </c>
      <c r="J194" s="8">
        <v>19282</v>
      </c>
      <c r="K194" s="8">
        <v>21770</v>
      </c>
      <c r="L194" s="8">
        <v>24233</v>
      </c>
      <c r="M194" s="8">
        <v>28237.933333333331</v>
      </c>
      <c r="N194" s="8">
        <v>32347.4375</v>
      </c>
    </row>
    <row r="195" spans="1:14" x14ac:dyDescent="0.25">
      <c r="A195" s="6" t="s">
        <v>347</v>
      </c>
      <c r="B195" s="7" t="s">
        <v>348</v>
      </c>
      <c r="C195" s="7" t="s">
        <v>349</v>
      </c>
      <c r="D195" s="7"/>
      <c r="E195" s="8">
        <v>16</v>
      </c>
      <c r="F195" s="8">
        <v>16</v>
      </c>
      <c r="G195" s="8">
        <v>17</v>
      </c>
      <c r="H195" s="8">
        <v>17</v>
      </c>
      <c r="I195" s="8">
        <v>17</v>
      </c>
      <c r="J195" s="8">
        <v>17</v>
      </c>
      <c r="K195" s="8">
        <v>17</v>
      </c>
      <c r="L195" s="8">
        <v>17</v>
      </c>
      <c r="M195" s="8">
        <v>17</v>
      </c>
      <c r="N195" s="8">
        <v>17</v>
      </c>
    </row>
    <row r="196" spans="1:14" x14ac:dyDescent="0.25">
      <c r="A196" s="6" t="s">
        <v>350</v>
      </c>
      <c r="B196" s="7" t="s">
        <v>351</v>
      </c>
      <c r="C196" s="7" t="s">
        <v>352</v>
      </c>
      <c r="D196" s="7"/>
      <c r="E196" s="8">
        <v>17346</v>
      </c>
      <c r="F196" s="8">
        <v>17561</v>
      </c>
      <c r="G196" s="8">
        <v>19732</v>
      </c>
      <c r="H196" s="8">
        <v>19984</v>
      </c>
      <c r="I196" s="8">
        <v>20289</v>
      </c>
      <c r="J196" s="8">
        <v>20647</v>
      </c>
      <c r="K196" s="8">
        <v>21056</v>
      </c>
      <c r="L196" s="8">
        <v>21506</v>
      </c>
      <c r="M196" s="8">
        <v>22163.339814474857</v>
      </c>
      <c r="N196" s="8">
        <v>22334.190108190945</v>
      </c>
    </row>
    <row r="197" spans="1:14" x14ac:dyDescent="0.25">
      <c r="A197" s="6" t="s">
        <v>353</v>
      </c>
      <c r="B197" s="7" t="s">
        <v>354</v>
      </c>
      <c r="C197" s="7" t="s">
        <v>355</v>
      </c>
      <c r="D197" s="7"/>
      <c r="E197" s="8">
        <v>-6953</v>
      </c>
      <c r="F197" s="8">
        <v>-2253</v>
      </c>
      <c r="G197" s="8">
        <v>-2378</v>
      </c>
      <c r="H197" s="8">
        <v>-1392</v>
      </c>
      <c r="I197" s="8">
        <v>-750</v>
      </c>
      <c r="J197" s="8">
        <v>819</v>
      </c>
      <c r="K197" s="8">
        <v>2673</v>
      </c>
      <c r="L197" s="8">
        <v>5571</v>
      </c>
      <c r="M197" s="8">
        <v>9672.8721800610874</v>
      </c>
      <c r="N197" s="8">
        <v>14377.177651991229</v>
      </c>
    </row>
    <row r="198" spans="1:14" x14ac:dyDescent="0.25">
      <c r="A198" s="6" t="s">
        <v>557</v>
      </c>
      <c r="B198" s="7" t="s">
        <v>556</v>
      </c>
      <c r="C198" s="7" t="s">
        <v>555</v>
      </c>
      <c r="D198" s="7"/>
      <c r="E198" s="8">
        <v>1717</v>
      </c>
      <c r="F198" s="8">
        <v>1717</v>
      </c>
      <c r="G198" s="8">
        <v>2251</v>
      </c>
      <c r="H198" s="8">
        <v>2251</v>
      </c>
      <c r="I198" s="8">
        <v>2251</v>
      </c>
      <c r="J198" s="8">
        <v>2251</v>
      </c>
      <c r="K198" s="8">
        <v>2251</v>
      </c>
      <c r="L198" s="8">
        <v>2251</v>
      </c>
      <c r="M198" s="8">
        <v>2523.16948</v>
      </c>
      <c r="N198" s="8">
        <v>2842.1630410048188</v>
      </c>
    </row>
    <row r="199" spans="1:14" x14ac:dyDescent="0.25">
      <c r="A199" s="6" t="s">
        <v>359</v>
      </c>
      <c r="B199" s="7" t="s">
        <v>303</v>
      </c>
      <c r="C199" s="7" t="s">
        <v>304</v>
      </c>
      <c r="D199" s="7"/>
      <c r="E199" s="8">
        <v>20999</v>
      </c>
      <c r="F199" s="8">
        <v>30565</v>
      </c>
      <c r="G199" s="8">
        <v>30777</v>
      </c>
      <c r="H199" s="8">
        <v>32229</v>
      </c>
      <c r="I199" s="8">
        <v>32469</v>
      </c>
      <c r="J199" s="8">
        <v>35136</v>
      </c>
      <c r="K199" s="8">
        <v>39395</v>
      </c>
      <c r="L199" s="8">
        <v>43673</v>
      </c>
      <c r="M199" s="8">
        <v>47185.08237830118</v>
      </c>
      <c r="N199" s="8">
        <v>51251.831770591874</v>
      </c>
    </row>
    <row r="200" spans="1:14" x14ac:dyDescent="0.25">
      <c r="A200" s="6" t="s">
        <v>17</v>
      </c>
      <c r="B200" s="7"/>
      <c r="C200" s="7"/>
      <c r="D200" s="7"/>
      <c r="E200" s="8"/>
      <c r="F200" s="8"/>
      <c r="G200" s="8"/>
      <c r="H200" s="8"/>
      <c r="I200" s="8"/>
      <c r="J200" s="8"/>
      <c r="K200" s="8"/>
      <c r="L200" s="8"/>
      <c r="M200" s="8"/>
      <c r="N200" s="8"/>
    </row>
    <row r="201" spans="1:14" x14ac:dyDescent="0.25">
      <c r="A201" s="6" t="s">
        <v>360</v>
      </c>
      <c r="B201" s="7"/>
      <c r="C201" s="7"/>
      <c r="D201" s="7"/>
      <c r="E201" s="8"/>
      <c r="F201" s="8"/>
      <c r="G201" s="8"/>
      <c r="H201" s="8"/>
      <c r="I201" s="8"/>
      <c r="J201" s="8"/>
      <c r="K201" s="8"/>
      <c r="L201" s="8"/>
      <c r="M201" s="8"/>
      <c r="N201" s="8"/>
    </row>
    <row r="202" spans="1:14" x14ac:dyDescent="0.25">
      <c r="A202" s="6" t="s">
        <v>1296</v>
      </c>
      <c r="B202" s="7" t="s">
        <v>56</v>
      </c>
      <c r="C202" s="7" t="s">
        <v>57</v>
      </c>
      <c r="D202" s="7"/>
      <c r="E202" s="8">
        <v>6910</v>
      </c>
      <c r="F202" s="8">
        <v>9791</v>
      </c>
      <c r="G202" s="8">
        <v>7409</v>
      </c>
      <c r="H202" s="8">
        <v>7140</v>
      </c>
      <c r="I202" s="8">
        <v>8007</v>
      </c>
      <c r="J202" s="8">
        <v>8237</v>
      </c>
      <c r="K202" s="8">
        <v>10332</v>
      </c>
      <c r="L202" s="8">
        <v>9471</v>
      </c>
      <c r="M202" s="8">
        <v>5980.625</v>
      </c>
      <c r="N202" s="8">
        <v>1968.625</v>
      </c>
    </row>
    <row r="203" spans="1:14" x14ac:dyDescent="0.25">
      <c r="A203" s="6" t="s">
        <v>361</v>
      </c>
      <c r="B203" s="7" t="s">
        <v>362</v>
      </c>
      <c r="C203" s="7" t="s">
        <v>363</v>
      </c>
      <c r="D203" s="7"/>
      <c r="E203" s="8">
        <v>7050</v>
      </c>
      <c r="F203" s="8">
        <v>10091</v>
      </c>
      <c r="G203" s="8">
        <v>9143</v>
      </c>
      <c r="H203" s="8">
        <v>9065</v>
      </c>
      <c r="I203" s="8">
        <v>8935</v>
      </c>
      <c r="J203" s="8">
        <v>9102</v>
      </c>
      <c r="K203" s="8">
        <v>10746</v>
      </c>
      <c r="L203" s="8">
        <v>11436</v>
      </c>
      <c r="M203" s="8">
        <v>11791.35</v>
      </c>
      <c r="N203" s="8">
        <v>10822.193333333335</v>
      </c>
    </row>
    <row r="204" spans="1:14" x14ac:dyDescent="0.25">
      <c r="A204" s="6" t="s">
        <v>376</v>
      </c>
      <c r="B204" s="7"/>
      <c r="C204" s="7"/>
      <c r="D204" s="7"/>
      <c r="E204" s="8"/>
      <c r="F204" s="8"/>
      <c r="G204" s="8"/>
      <c r="H204" s="8"/>
      <c r="I204" s="8"/>
      <c r="J204" s="8"/>
      <c r="K204" s="8"/>
      <c r="L204" s="8"/>
      <c r="M204" s="8"/>
      <c r="N204" s="8"/>
    </row>
    <row r="205" spans="1:14" x14ac:dyDescent="0.25">
      <c r="A205" s="6" t="s">
        <v>551</v>
      </c>
      <c r="B205" s="7" t="s">
        <v>378</v>
      </c>
      <c r="C205" s="7" t="s">
        <v>379</v>
      </c>
      <c r="D205" s="7"/>
      <c r="E205" s="8">
        <v>8.3464448939836657</v>
      </c>
      <c r="F205" s="8">
        <v>18.229772709642386</v>
      </c>
      <c r="G205" s="8">
        <v>-0.26735352613217694</v>
      </c>
      <c r="H205" s="8">
        <v>3.3044471955051899</v>
      </c>
      <c r="I205" s="8">
        <v>2.157717394664441</v>
      </c>
      <c r="J205" s="8">
        <v>4.706752459137638</v>
      </c>
      <c r="K205" s="8">
        <v>4.9724275804698719</v>
      </c>
      <c r="L205" s="8">
        <v>6.9774160928396016</v>
      </c>
      <c r="M205" s="8">
        <v>10.320130565360905</v>
      </c>
      <c r="N205" s="8">
        <v>10.667555774529776</v>
      </c>
    </row>
    <row r="206" spans="1:14" x14ac:dyDescent="0.25">
      <c r="A206" s="6" t="s">
        <v>1091</v>
      </c>
      <c r="B206" s="7" t="s">
        <v>1295</v>
      </c>
      <c r="C206" s="7" t="s">
        <v>1294</v>
      </c>
      <c r="D206" s="7"/>
      <c r="E206" s="8">
        <v>19.583174482145125</v>
      </c>
      <c r="F206" s="8">
        <v>14.201654647613148</v>
      </c>
      <c r="G206" s="8">
        <v>4.6667408635994105</v>
      </c>
      <c r="H206" s="8">
        <v>10.00644817979779</v>
      </c>
      <c r="I206" s="8">
        <v>10.418950138909198</v>
      </c>
      <c r="J206" s="8">
        <v>12.41555199826356</v>
      </c>
      <c r="K206" s="8">
        <v>14.571407692495068</v>
      </c>
      <c r="L206" s="8">
        <v>15.677238440971241</v>
      </c>
      <c r="M206" s="8">
        <v>18.62</v>
      </c>
      <c r="N206" s="8">
        <v>20.075000000000003</v>
      </c>
    </row>
    <row r="207" spans="1:14" x14ac:dyDescent="0.25">
      <c r="A207" s="6" t="s">
        <v>1293</v>
      </c>
      <c r="B207" s="7" t="s">
        <v>549</v>
      </c>
      <c r="C207" s="7" t="s">
        <v>548</v>
      </c>
      <c r="D207" s="7"/>
      <c r="E207" s="8">
        <v>59.749567341952563</v>
      </c>
      <c r="F207" s="8">
        <v>62.153702841173732</v>
      </c>
      <c r="G207" s="8">
        <v>56.526379501664479</v>
      </c>
      <c r="H207" s="8">
        <v>54.590343203230148</v>
      </c>
      <c r="I207" s="8">
        <v>56.698470272827628</v>
      </c>
      <c r="J207" s="8">
        <v>57.108146067415724</v>
      </c>
      <c r="K207" s="8">
        <v>55.904221651639098</v>
      </c>
      <c r="L207" s="8">
        <v>53.202650194281162</v>
      </c>
      <c r="M207" s="8">
        <v>54.758195280202528</v>
      </c>
      <c r="N207" s="8">
        <v>55.818716489424467</v>
      </c>
    </row>
    <row r="208" spans="1:14" x14ac:dyDescent="0.25">
      <c r="A208" s="6" t="s">
        <v>547</v>
      </c>
      <c r="B208" s="7" t="s">
        <v>371</v>
      </c>
      <c r="C208" s="7" t="s">
        <v>372</v>
      </c>
      <c r="D208" s="7"/>
      <c r="E208" s="8">
        <v>0.76083650190114072</v>
      </c>
      <c r="F208" s="8">
        <v>0.96568023016851623</v>
      </c>
      <c r="G208" s="8">
        <v>1.8185275740287965</v>
      </c>
      <c r="H208" s="8">
        <v>1.4780065512400562</v>
      </c>
      <c r="I208" s="8">
        <v>1.514593741782803</v>
      </c>
      <c r="J208" s="8">
        <v>1.3204946280154064</v>
      </c>
      <c r="K208" s="8">
        <v>1.0814189717143303</v>
      </c>
      <c r="L208" s="8">
        <v>1.6168413311270453</v>
      </c>
      <c r="M208" s="8">
        <v>2.2189161978481429</v>
      </c>
      <c r="N208" s="8">
        <v>2.7976332416297192</v>
      </c>
    </row>
    <row r="209" spans="1:14" x14ac:dyDescent="0.25">
      <c r="A209" s="6" t="s">
        <v>477</v>
      </c>
      <c r="B209" s="7" t="s">
        <v>1292</v>
      </c>
      <c r="C209" s="7" t="s">
        <v>1291</v>
      </c>
      <c r="D209" s="7"/>
      <c r="E209" s="8">
        <v>6.2266305123447978</v>
      </c>
      <c r="F209" s="8">
        <v>9.8376577342974603</v>
      </c>
      <c r="G209" s="8">
        <v>10.818098397684762</v>
      </c>
      <c r="H209" s="8">
        <v>11.592272283442602</v>
      </c>
      <c r="I209" s="8">
        <v>12.206709731194</v>
      </c>
      <c r="J209" s="8">
        <v>13.175948069695934</v>
      </c>
      <c r="K209" s="8">
        <v>14.6510532337304</v>
      </c>
      <c r="L209" s="8">
        <v>16.214787554366008</v>
      </c>
      <c r="M209" s="8" t="s">
        <v>1483</v>
      </c>
      <c r="N209" s="8" t="s">
        <v>1483</v>
      </c>
    </row>
    <row r="210" spans="1:14" x14ac:dyDescent="0.25">
      <c r="A210" s="6" t="s">
        <v>17</v>
      </c>
      <c r="B210" s="7"/>
      <c r="C210" s="7"/>
      <c r="D210" s="7"/>
      <c r="E210" s="8"/>
      <c r="F210" s="8"/>
      <c r="G210" s="8"/>
      <c r="H210" s="8"/>
      <c r="I210" s="8"/>
      <c r="J210" s="8"/>
      <c r="K210" s="8"/>
      <c r="L210" s="8"/>
      <c r="M210" s="8"/>
      <c r="N210" s="8"/>
    </row>
    <row r="211" spans="1:14" x14ac:dyDescent="0.25">
      <c r="A211" s="6" t="s">
        <v>388</v>
      </c>
      <c r="B211" s="7"/>
      <c r="C211" s="7"/>
      <c r="D211" s="7"/>
      <c r="E211" s="8"/>
      <c r="F211" s="8"/>
      <c r="G211" s="8"/>
      <c r="H211" s="8"/>
      <c r="I211" s="8"/>
      <c r="J211" s="8"/>
      <c r="K211" s="8"/>
      <c r="L211" s="8"/>
      <c r="M211" s="8"/>
      <c r="N211" s="8"/>
    </row>
    <row r="212" spans="1:14" x14ac:dyDescent="0.25">
      <c r="A212" s="6" t="s">
        <v>389</v>
      </c>
      <c r="B212" s="7"/>
      <c r="C212" s="7"/>
      <c r="D212" s="7"/>
      <c r="E212" s="8"/>
      <c r="F212" s="8"/>
      <c r="G212" s="8"/>
      <c r="H212" s="8"/>
      <c r="I212" s="8"/>
      <c r="J212" s="8"/>
      <c r="K212" s="8"/>
      <c r="L212" s="8"/>
      <c r="M212" s="8"/>
      <c r="N212" s="8"/>
    </row>
    <row r="213" spans="1:14" x14ac:dyDescent="0.25">
      <c r="A213" s="6" t="s">
        <v>240</v>
      </c>
      <c r="B213" s="7" t="s">
        <v>241</v>
      </c>
      <c r="C213" s="7" t="s">
        <v>242</v>
      </c>
      <c r="D213" s="7"/>
      <c r="E213" s="8">
        <v>1671</v>
      </c>
      <c r="F213" s="8">
        <v>4700</v>
      </c>
      <c r="G213" s="8">
        <v>-173</v>
      </c>
      <c r="H213" s="8">
        <v>985</v>
      </c>
      <c r="I213" s="8">
        <v>642</v>
      </c>
      <c r="J213" s="8">
        <v>1570</v>
      </c>
      <c r="K213" s="8">
        <v>1853</v>
      </c>
      <c r="L213" s="8">
        <v>2898</v>
      </c>
      <c r="M213" s="8">
        <v>3751.15</v>
      </c>
      <c r="N213" s="8">
        <v>4481</v>
      </c>
    </row>
    <row r="214" spans="1:14" x14ac:dyDescent="0.25">
      <c r="A214" s="6" t="s">
        <v>392</v>
      </c>
      <c r="B214" s="7" t="s">
        <v>168</v>
      </c>
      <c r="C214" s="7" t="s">
        <v>169</v>
      </c>
      <c r="D214" s="7"/>
      <c r="E214" s="8">
        <v>894</v>
      </c>
      <c r="F214" s="8">
        <v>1011</v>
      </c>
      <c r="G214" s="8">
        <v>1123</v>
      </c>
      <c r="H214" s="8">
        <v>1093</v>
      </c>
      <c r="I214" s="8">
        <v>1136</v>
      </c>
      <c r="J214" s="8">
        <v>1196</v>
      </c>
      <c r="K214" s="8">
        <v>1269</v>
      </c>
      <c r="L214" s="8">
        <v>1368</v>
      </c>
      <c r="M214" s="8">
        <v>1402.908875403301</v>
      </c>
      <c r="N214" s="8">
        <v>1510.9925427304806</v>
      </c>
    </row>
    <row r="215" spans="1:14" x14ac:dyDescent="0.25">
      <c r="A215" s="6" t="s">
        <v>1089</v>
      </c>
      <c r="B215" s="7" t="s">
        <v>171</v>
      </c>
      <c r="C215" s="7" t="s">
        <v>172</v>
      </c>
      <c r="D215" s="7"/>
      <c r="E215" s="8">
        <v>296</v>
      </c>
      <c r="F215" s="8">
        <v>311</v>
      </c>
      <c r="G215" s="8">
        <v>333</v>
      </c>
      <c r="H215" s="8">
        <v>352</v>
      </c>
      <c r="I215" s="8">
        <v>333</v>
      </c>
      <c r="J215" s="8">
        <v>367</v>
      </c>
      <c r="K215" s="8">
        <v>412</v>
      </c>
      <c r="L215" s="8">
        <v>471</v>
      </c>
      <c r="M215" s="8">
        <v>530.83816966675204</v>
      </c>
      <c r="N215" s="8">
        <v>589.45967094470598</v>
      </c>
    </row>
    <row r="216" spans="1:14" x14ac:dyDescent="0.25">
      <c r="A216" s="6" t="s">
        <v>1088</v>
      </c>
      <c r="B216" s="7" t="s">
        <v>174</v>
      </c>
      <c r="C216" s="7" t="s">
        <v>175</v>
      </c>
      <c r="D216" s="7"/>
      <c r="E216" s="8">
        <v>599</v>
      </c>
      <c r="F216" s="8">
        <v>699</v>
      </c>
      <c r="G216" s="8">
        <v>789</v>
      </c>
      <c r="H216" s="8">
        <v>741</v>
      </c>
      <c r="I216" s="8">
        <v>803</v>
      </c>
      <c r="J216" s="8">
        <v>828</v>
      </c>
      <c r="K216" s="8">
        <v>856</v>
      </c>
      <c r="L216" s="8">
        <v>897</v>
      </c>
      <c r="M216" s="8">
        <v>885.85907127573034</v>
      </c>
      <c r="N216" s="8">
        <v>892.4802895793357</v>
      </c>
    </row>
    <row r="217" spans="1:14" x14ac:dyDescent="0.25">
      <c r="A217" s="6" t="s">
        <v>395</v>
      </c>
      <c r="B217" s="7" t="s">
        <v>396</v>
      </c>
      <c r="C217" s="7" t="s">
        <v>397</v>
      </c>
      <c r="D217" s="7"/>
      <c r="E217" s="8">
        <v>140</v>
      </c>
      <c r="F217" s="8">
        <v>157</v>
      </c>
      <c r="G217" s="8">
        <v>170</v>
      </c>
      <c r="H217" s="8">
        <v>194</v>
      </c>
      <c r="I217" s="8">
        <v>220</v>
      </c>
      <c r="J217" s="8">
        <v>233</v>
      </c>
      <c r="K217" s="8">
        <v>266</v>
      </c>
      <c r="L217" s="8">
        <v>300</v>
      </c>
      <c r="M217" s="8">
        <v>317.86477831266575</v>
      </c>
      <c r="N217" s="8">
        <v>333.90462210156699</v>
      </c>
    </row>
    <row r="218" spans="1:14" x14ac:dyDescent="0.25">
      <c r="A218" s="6" t="s">
        <v>1290</v>
      </c>
      <c r="B218" s="7" t="s">
        <v>540</v>
      </c>
      <c r="C218" s="7" t="s">
        <v>539</v>
      </c>
      <c r="D218" s="7"/>
      <c r="E218" s="8">
        <v>0</v>
      </c>
      <c r="F218" s="8">
        <v>0</v>
      </c>
      <c r="G218" s="8">
        <v>0</v>
      </c>
      <c r="H218" s="8">
        <v>-78</v>
      </c>
      <c r="I218" s="8">
        <v>22</v>
      </c>
      <c r="J218" s="8">
        <v>0</v>
      </c>
      <c r="K218" s="8">
        <v>0</v>
      </c>
      <c r="L218" s="8">
        <v>0</v>
      </c>
      <c r="M218" s="8" t="s">
        <v>1483</v>
      </c>
      <c r="N218" s="8" t="s">
        <v>1483</v>
      </c>
    </row>
    <row r="219" spans="1:14" x14ac:dyDescent="0.25">
      <c r="A219" s="6" t="s">
        <v>1289</v>
      </c>
      <c r="B219" s="7" t="s">
        <v>399</v>
      </c>
      <c r="C219" s="7" t="s">
        <v>400</v>
      </c>
      <c r="D219" s="7"/>
      <c r="E219" s="8">
        <v>-87</v>
      </c>
      <c r="F219" s="8">
        <v>-4301</v>
      </c>
      <c r="G219" s="8">
        <v>-82</v>
      </c>
      <c r="H219" s="8">
        <v>-124</v>
      </c>
      <c r="I219" s="8">
        <v>-63</v>
      </c>
      <c r="J219" s="8">
        <v>-1</v>
      </c>
      <c r="K219" s="8">
        <v>-70</v>
      </c>
      <c r="L219" s="8">
        <v>-2</v>
      </c>
      <c r="M219" s="8">
        <v>-458.23961999999983</v>
      </c>
      <c r="N219" s="8">
        <v>-736.1287914637237</v>
      </c>
    </row>
    <row r="220" spans="1:14" x14ac:dyDescent="0.25">
      <c r="A220" s="6" t="s">
        <v>401</v>
      </c>
      <c r="B220" s="7"/>
      <c r="C220" s="7"/>
      <c r="D220" s="7"/>
      <c r="E220" s="8"/>
      <c r="F220" s="8"/>
      <c r="G220" s="8"/>
      <c r="H220" s="8"/>
      <c r="I220" s="8"/>
      <c r="J220" s="8"/>
      <c r="K220" s="8"/>
      <c r="L220" s="8"/>
      <c r="M220" s="8"/>
      <c r="N220" s="8"/>
    </row>
    <row r="221" spans="1:14" x14ac:dyDescent="0.25">
      <c r="A221" s="6" t="s">
        <v>267</v>
      </c>
      <c r="B221" s="7" t="s">
        <v>403</v>
      </c>
      <c r="C221" s="7" t="s">
        <v>404</v>
      </c>
      <c r="D221" s="7"/>
      <c r="E221" s="8">
        <v>-110</v>
      </c>
      <c r="F221" s="8">
        <v>-130</v>
      </c>
      <c r="G221" s="8">
        <v>335</v>
      </c>
      <c r="H221" s="8">
        <v>-279</v>
      </c>
      <c r="I221" s="8">
        <v>-220</v>
      </c>
      <c r="J221" s="8">
        <v>-238</v>
      </c>
      <c r="K221" s="8">
        <v>-351</v>
      </c>
      <c r="L221" s="8">
        <v>-269</v>
      </c>
      <c r="M221" s="8">
        <v>-347.14998201310794</v>
      </c>
      <c r="N221" s="8">
        <v>-328.20490192306789</v>
      </c>
    </row>
    <row r="222" spans="1:14" x14ac:dyDescent="0.25">
      <c r="A222" s="6" t="s">
        <v>270</v>
      </c>
      <c r="B222" s="7" t="s">
        <v>406</v>
      </c>
      <c r="C222" s="7" t="s">
        <v>407</v>
      </c>
      <c r="D222" s="7"/>
      <c r="E222" s="8">
        <v>-83</v>
      </c>
      <c r="F222" s="8">
        <v>-290</v>
      </c>
      <c r="G222" s="8">
        <v>-65</v>
      </c>
      <c r="H222" s="8">
        <v>-346</v>
      </c>
      <c r="I222" s="8">
        <v>-321</v>
      </c>
      <c r="J222" s="8">
        <v>-660</v>
      </c>
      <c r="K222" s="8">
        <v>-228</v>
      </c>
      <c r="L222" s="8">
        <v>-188</v>
      </c>
      <c r="M222" s="8">
        <v>-372.01835413310909</v>
      </c>
      <c r="N222" s="8">
        <v>-282.78233328620422</v>
      </c>
    </row>
    <row r="223" spans="1:14" x14ac:dyDescent="0.25">
      <c r="A223" s="6" t="s">
        <v>1288</v>
      </c>
      <c r="B223" s="7" t="s">
        <v>1076</v>
      </c>
      <c r="C223" s="7" t="s">
        <v>1075</v>
      </c>
      <c r="D223" s="7"/>
      <c r="E223" s="8">
        <v>-631</v>
      </c>
      <c r="F223" s="8">
        <v>79</v>
      </c>
      <c r="G223" s="8">
        <v>-28</v>
      </c>
      <c r="H223" s="8">
        <v>408</v>
      </c>
      <c r="I223" s="8">
        <v>-255</v>
      </c>
      <c r="J223" s="8">
        <v>118</v>
      </c>
      <c r="K223" s="8">
        <v>243</v>
      </c>
      <c r="L223" s="8">
        <v>296</v>
      </c>
      <c r="M223" s="8">
        <v>295.30658533016015</v>
      </c>
      <c r="N223" s="8">
        <v>1.8206787531796353</v>
      </c>
    </row>
    <row r="224" spans="1:14" x14ac:dyDescent="0.25">
      <c r="A224" s="6" t="s">
        <v>421</v>
      </c>
      <c r="B224" s="7" t="s">
        <v>1287</v>
      </c>
      <c r="C224" s="7" t="s">
        <v>1286</v>
      </c>
      <c r="D224" s="7"/>
      <c r="E224" s="8">
        <v>311</v>
      </c>
      <c r="F224" s="8">
        <v>1836</v>
      </c>
      <c r="G224" s="8">
        <v>1508</v>
      </c>
      <c r="H224" s="8">
        <v>1870</v>
      </c>
      <c r="I224" s="8">
        <v>1526</v>
      </c>
      <c r="J224" s="8">
        <v>2503</v>
      </c>
      <c r="K224" s="8">
        <v>3435</v>
      </c>
      <c r="L224" s="8">
        <v>4534</v>
      </c>
      <c r="M224" s="8">
        <v>5020.0870558246024</v>
      </c>
      <c r="N224" s="8">
        <v>5685.2087314796418</v>
      </c>
    </row>
    <row r="225" spans="1:14" x14ac:dyDescent="0.25">
      <c r="A225" s="6" t="s">
        <v>17</v>
      </c>
      <c r="B225" s="7"/>
      <c r="C225" s="7"/>
      <c r="D225" s="7"/>
      <c r="E225" s="8"/>
      <c r="F225" s="8"/>
      <c r="G225" s="8"/>
      <c r="H225" s="8"/>
      <c r="I225" s="8"/>
      <c r="J225" s="8"/>
      <c r="K225" s="8"/>
      <c r="L225" s="8"/>
      <c r="M225" s="8"/>
      <c r="N225" s="8"/>
    </row>
    <row r="226" spans="1:14" x14ac:dyDescent="0.25">
      <c r="A226" s="6" t="s">
        <v>424</v>
      </c>
      <c r="B226" s="7"/>
      <c r="C226" s="7"/>
      <c r="D226" s="7"/>
      <c r="E226" s="8"/>
      <c r="F226" s="8"/>
      <c r="G226" s="8"/>
      <c r="H226" s="8"/>
      <c r="I226" s="8"/>
      <c r="J226" s="8"/>
      <c r="K226" s="8"/>
      <c r="L226" s="8"/>
      <c r="M226" s="8"/>
      <c r="N226" s="8"/>
    </row>
    <row r="227" spans="1:14" x14ac:dyDescent="0.25">
      <c r="A227" s="6" t="s">
        <v>425</v>
      </c>
      <c r="B227" s="7" t="s">
        <v>426</v>
      </c>
      <c r="C227" s="7" t="s">
        <v>427</v>
      </c>
      <c r="D227" s="7"/>
      <c r="E227" s="8">
        <v>-316</v>
      </c>
      <c r="F227" s="8">
        <v>-461</v>
      </c>
      <c r="G227" s="8">
        <v>-376</v>
      </c>
      <c r="H227" s="8">
        <v>-554</v>
      </c>
      <c r="I227" s="8">
        <v>-588</v>
      </c>
      <c r="J227" s="8">
        <v>-711</v>
      </c>
      <c r="K227" s="8">
        <v>-790</v>
      </c>
      <c r="L227" s="8">
        <v>-876</v>
      </c>
      <c r="M227" s="8">
        <v>-850.0526315789474</v>
      </c>
      <c r="N227" s="8">
        <v>-985.21052631578948</v>
      </c>
    </row>
    <row r="228" spans="1:14" x14ac:dyDescent="0.25">
      <c r="A228" s="6" t="s">
        <v>1285</v>
      </c>
      <c r="B228" s="7" t="s">
        <v>526</v>
      </c>
      <c r="C228" s="7" t="s">
        <v>525</v>
      </c>
      <c r="D228" s="7"/>
      <c r="E228" s="8">
        <v>14</v>
      </c>
      <c r="F228" s="8">
        <v>7</v>
      </c>
      <c r="G228" s="8">
        <v>12</v>
      </c>
      <c r="H228" s="8">
        <v>14</v>
      </c>
      <c r="I228" s="8">
        <v>12</v>
      </c>
      <c r="J228" s="8">
        <v>4</v>
      </c>
      <c r="K228" s="8">
        <v>3</v>
      </c>
      <c r="L228" s="8">
        <v>0</v>
      </c>
      <c r="M228" s="8" t="s">
        <v>1483</v>
      </c>
      <c r="N228" s="8" t="s">
        <v>1483</v>
      </c>
    </row>
    <row r="229" spans="1:14" x14ac:dyDescent="0.25">
      <c r="A229" s="6" t="s">
        <v>430</v>
      </c>
      <c r="B229" s="7" t="s">
        <v>431</v>
      </c>
      <c r="C229" s="7" t="s">
        <v>432</v>
      </c>
      <c r="D229" s="7"/>
      <c r="E229" s="8">
        <v>-1448</v>
      </c>
      <c r="F229" s="8">
        <v>-4382</v>
      </c>
      <c r="G229" s="8">
        <v>-3</v>
      </c>
      <c r="H229" s="8">
        <v>-2258</v>
      </c>
      <c r="I229" s="8">
        <v>-1542</v>
      </c>
      <c r="J229" s="8">
        <v>-1811</v>
      </c>
      <c r="K229" s="8">
        <v>-4640</v>
      </c>
      <c r="L229" s="8">
        <v>-1593</v>
      </c>
      <c r="M229" s="8">
        <v>-7741.5</v>
      </c>
      <c r="N229" s="8">
        <v>-725</v>
      </c>
    </row>
    <row r="230" spans="1:14" x14ac:dyDescent="0.25">
      <c r="A230" s="6" t="s">
        <v>445</v>
      </c>
      <c r="B230" s="7" t="s">
        <v>446</v>
      </c>
      <c r="C230" s="7" t="s">
        <v>447</v>
      </c>
      <c r="D230" s="7"/>
      <c r="E230" s="8">
        <v>-1922</v>
      </c>
      <c r="F230" s="8">
        <v>-5041</v>
      </c>
      <c r="G230" s="8">
        <v>-411</v>
      </c>
      <c r="H230" s="8">
        <v>-1597</v>
      </c>
      <c r="I230" s="8">
        <v>-2011</v>
      </c>
      <c r="J230" s="8">
        <v>-2574</v>
      </c>
      <c r="K230" s="8">
        <v>-5687</v>
      </c>
      <c r="L230" s="8">
        <v>-2640</v>
      </c>
      <c r="M230" s="8">
        <v>-1722.5244399341939</v>
      </c>
      <c r="N230" s="8">
        <v>-1414.2876162643038</v>
      </c>
    </row>
    <row r="231" spans="1:14" x14ac:dyDescent="0.25">
      <c r="A231" s="6" t="s">
        <v>17</v>
      </c>
      <c r="B231" s="7"/>
      <c r="C231" s="7"/>
      <c r="D231" s="7"/>
      <c r="E231" s="8"/>
      <c r="F231" s="8"/>
      <c r="G231" s="8"/>
      <c r="H231" s="8"/>
      <c r="I231" s="8"/>
      <c r="J231" s="8"/>
      <c r="K231" s="8"/>
      <c r="L231" s="8"/>
      <c r="M231" s="8"/>
      <c r="N231" s="8"/>
    </row>
    <row r="232" spans="1:14" x14ac:dyDescent="0.25">
      <c r="A232" s="6" t="s">
        <v>1284</v>
      </c>
      <c r="B232" s="7"/>
      <c r="C232" s="7"/>
      <c r="D232" s="7"/>
      <c r="E232" s="8"/>
      <c r="F232" s="8"/>
      <c r="G232" s="8"/>
      <c r="H232" s="8"/>
      <c r="I232" s="8"/>
      <c r="J232" s="8"/>
      <c r="K232" s="8"/>
      <c r="L232" s="8"/>
      <c r="M232" s="8"/>
      <c r="N232" s="8"/>
    </row>
    <row r="233" spans="1:14" x14ac:dyDescent="0.25">
      <c r="A233" s="6" t="s">
        <v>1283</v>
      </c>
      <c r="B233" s="7" t="s">
        <v>456</v>
      </c>
      <c r="C233" s="7" t="s">
        <v>457</v>
      </c>
      <c r="D233" s="7"/>
      <c r="E233" s="8">
        <v>0</v>
      </c>
      <c r="F233" s="8">
        <v>0</v>
      </c>
      <c r="G233" s="8">
        <v>-28</v>
      </c>
      <c r="H233" s="8">
        <v>-55</v>
      </c>
      <c r="I233" s="8">
        <v>-55</v>
      </c>
      <c r="J233" s="8">
        <v>-28</v>
      </c>
      <c r="K233" s="8">
        <v>0</v>
      </c>
      <c r="L233" s="8">
        <v>0</v>
      </c>
      <c r="M233" s="8">
        <v>-8</v>
      </c>
      <c r="N233" s="8">
        <v>-8</v>
      </c>
    </row>
    <row r="234" spans="1:14" x14ac:dyDescent="0.25">
      <c r="A234" s="6" t="s">
        <v>458</v>
      </c>
      <c r="B234" s="7" t="s">
        <v>1282</v>
      </c>
      <c r="C234" s="7" t="s">
        <v>1281</v>
      </c>
      <c r="D234" s="7"/>
      <c r="E234" s="8">
        <v>1405</v>
      </c>
      <c r="F234" s="8">
        <v>2794</v>
      </c>
      <c r="G234" s="8">
        <v>-999</v>
      </c>
      <c r="H234" s="8">
        <v>0</v>
      </c>
      <c r="I234" s="8">
        <v>-166</v>
      </c>
      <c r="J234" s="8">
        <v>-4</v>
      </c>
      <c r="K234" s="8">
        <v>1827</v>
      </c>
      <c r="L234" s="8">
        <v>-491</v>
      </c>
      <c r="M234" s="8">
        <v>4065</v>
      </c>
      <c r="N234" s="8">
        <v>-120</v>
      </c>
    </row>
    <row r="235" spans="1:14" x14ac:dyDescent="0.25">
      <c r="A235" s="6" t="s">
        <v>452</v>
      </c>
      <c r="B235" s="7" t="s">
        <v>1061</v>
      </c>
      <c r="C235" s="7" t="s">
        <v>1060</v>
      </c>
      <c r="D235" s="7"/>
      <c r="E235" s="8">
        <v>101</v>
      </c>
      <c r="F235" s="8">
        <v>123</v>
      </c>
      <c r="G235" s="8">
        <v>2061</v>
      </c>
      <c r="H235" s="8">
        <v>110</v>
      </c>
      <c r="I235" s="8">
        <v>136</v>
      </c>
      <c r="J235" s="8">
        <v>182</v>
      </c>
      <c r="K235" s="8">
        <v>229</v>
      </c>
      <c r="L235" s="8">
        <v>282</v>
      </c>
      <c r="M235" s="8">
        <v>-405.6</v>
      </c>
      <c r="N235" s="8">
        <v>-532</v>
      </c>
    </row>
    <row r="236" spans="1:14" x14ac:dyDescent="0.25">
      <c r="A236" s="6" t="s">
        <v>1280</v>
      </c>
      <c r="B236" s="7" t="s">
        <v>1279</v>
      </c>
      <c r="C236" s="7" t="s">
        <v>1278</v>
      </c>
      <c r="D236" s="7"/>
      <c r="E236" s="8">
        <v>-56</v>
      </c>
      <c r="F236" s="8">
        <v>-65</v>
      </c>
      <c r="G236" s="8">
        <v>-59</v>
      </c>
      <c r="H236" s="8">
        <v>-50</v>
      </c>
      <c r="I236" s="8">
        <v>-53</v>
      </c>
      <c r="J236" s="8">
        <v>-56</v>
      </c>
      <c r="K236" s="8">
        <v>-87</v>
      </c>
      <c r="L236" s="8">
        <v>-131</v>
      </c>
      <c r="M236" s="8">
        <v>-48</v>
      </c>
      <c r="N236" s="8">
        <v>-49</v>
      </c>
    </row>
    <row r="237" spans="1:14" x14ac:dyDescent="0.25">
      <c r="A237" s="6" t="s">
        <v>467</v>
      </c>
      <c r="B237" s="7" t="s">
        <v>1277</v>
      </c>
      <c r="C237" s="7" t="s">
        <v>1276</v>
      </c>
      <c r="D237" s="7"/>
      <c r="E237" s="8">
        <v>1431</v>
      </c>
      <c r="F237" s="8">
        <v>2973</v>
      </c>
      <c r="G237" s="8">
        <v>293</v>
      </c>
      <c r="H237" s="8">
        <v>-95</v>
      </c>
      <c r="I237" s="8">
        <v>-548</v>
      </c>
      <c r="J237" s="8">
        <v>5</v>
      </c>
      <c r="K237" s="8">
        <v>1813</v>
      </c>
      <c r="L237" s="8">
        <v>-395</v>
      </c>
      <c r="M237" s="8" t="s">
        <v>1483</v>
      </c>
      <c r="N237" s="8" t="s">
        <v>1483</v>
      </c>
    </row>
    <row r="238" spans="1:14" x14ac:dyDescent="0.25">
      <c r="A238" s="6" t="s">
        <v>17</v>
      </c>
      <c r="B238" s="7"/>
      <c r="C238" s="7"/>
      <c r="D238" s="7"/>
      <c r="E238" s="8"/>
      <c r="F238" s="8"/>
      <c r="G238" s="8"/>
      <c r="H238" s="8"/>
      <c r="I238" s="8"/>
      <c r="J238" s="8"/>
      <c r="K238" s="8"/>
      <c r="L238" s="8"/>
      <c r="M238" s="8"/>
      <c r="N238" s="8"/>
    </row>
    <row r="239" spans="1:14" x14ac:dyDescent="0.25">
      <c r="A239" s="6" t="s">
        <v>360</v>
      </c>
      <c r="B239" s="7"/>
      <c r="C239" s="7"/>
      <c r="D239" s="7"/>
      <c r="E239" s="8"/>
      <c r="F239" s="8"/>
      <c r="G239" s="8"/>
      <c r="H239" s="8"/>
      <c r="I239" s="8"/>
      <c r="J239" s="8"/>
      <c r="K239" s="8"/>
      <c r="L239" s="8"/>
      <c r="M239" s="8"/>
      <c r="N239" s="8"/>
    </row>
    <row r="240" spans="1:14" x14ac:dyDescent="0.25">
      <c r="A240" s="6" t="s">
        <v>470</v>
      </c>
      <c r="B240" s="7" t="s">
        <v>471</v>
      </c>
      <c r="C240" s="7" t="s">
        <v>472</v>
      </c>
      <c r="D240" s="7"/>
      <c r="E240" s="8">
        <v>-188</v>
      </c>
      <c r="F240" s="8">
        <v>-222</v>
      </c>
      <c r="G240" s="8">
        <v>1388</v>
      </c>
      <c r="H240" s="8">
        <v>172</v>
      </c>
      <c r="I240" s="8">
        <v>-1042</v>
      </c>
      <c r="J240" s="8">
        <v>-70</v>
      </c>
      <c r="K240" s="8">
        <v>-450</v>
      </c>
      <c r="L240" s="8">
        <v>1541</v>
      </c>
      <c r="M240" s="8">
        <v>2867.696462098404</v>
      </c>
      <c r="N240" s="8">
        <v>3056.3741843026223</v>
      </c>
    </row>
    <row r="241" spans="1:14" x14ac:dyDescent="0.25">
      <c r="A241" s="6" t="s">
        <v>498</v>
      </c>
      <c r="B241" s="7" t="s">
        <v>475</v>
      </c>
      <c r="C241" s="7" t="s">
        <v>476</v>
      </c>
      <c r="D241" s="7"/>
      <c r="E241" s="8">
        <v>1017</v>
      </c>
      <c r="F241" s="8">
        <v>829</v>
      </c>
      <c r="G241" s="8">
        <v>607</v>
      </c>
      <c r="H241" s="8">
        <v>1995</v>
      </c>
      <c r="I241" s="8">
        <v>2168</v>
      </c>
      <c r="J241" s="8">
        <v>1126</v>
      </c>
      <c r="K241" s="8">
        <v>1055</v>
      </c>
      <c r="L241" s="8">
        <v>606</v>
      </c>
      <c r="M241" s="8">
        <v>2109.3627471511213</v>
      </c>
      <c r="N241" s="8">
        <v>5644.3736250545626</v>
      </c>
    </row>
    <row r="242" spans="1:14" x14ac:dyDescent="0.25">
      <c r="A242" s="6" t="s">
        <v>497</v>
      </c>
      <c r="B242" s="7" t="s">
        <v>1275</v>
      </c>
      <c r="C242" s="7" t="s">
        <v>1274</v>
      </c>
      <c r="D242" s="7"/>
      <c r="E242" s="8">
        <v>829</v>
      </c>
      <c r="F242" s="8">
        <v>607</v>
      </c>
      <c r="G242" s="8">
        <v>1995</v>
      </c>
      <c r="H242" s="8">
        <v>2168</v>
      </c>
      <c r="I242" s="8">
        <v>1126</v>
      </c>
      <c r="J242" s="8">
        <v>1055</v>
      </c>
      <c r="K242" s="8">
        <v>606</v>
      </c>
      <c r="L242" s="8">
        <v>2147</v>
      </c>
      <c r="M242" s="8">
        <v>5324.3655137483247</v>
      </c>
      <c r="N242" s="8">
        <v>8878.8295390081039</v>
      </c>
    </row>
    <row r="243" spans="1:14" x14ac:dyDescent="0.25">
      <c r="A243" s="6" t="s">
        <v>376</v>
      </c>
      <c r="B243" s="7"/>
      <c r="C243" s="7"/>
      <c r="D243" s="7"/>
      <c r="E243" s="8"/>
      <c r="F243" s="8"/>
      <c r="G243" s="8"/>
      <c r="H243" s="8"/>
      <c r="I243" s="8"/>
      <c r="J243" s="8"/>
      <c r="K243" s="8"/>
      <c r="L243" s="8"/>
      <c r="M243" s="8"/>
      <c r="N243" s="8"/>
    </row>
    <row r="244" spans="1:14" x14ac:dyDescent="0.25">
      <c r="A244" s="6" t="s">
        <v>496</v>
      </c>
      <c r="B244" s="7" t="s">
        <v>495</v>
      </c>
      <c r="C244" s="7" t="s">
        <v>494</v>
      </c>
      <c r="D244" s="7"/>
      <c r="E244" s="8">
        <v>0.22519913106444606</v>
      </c>
      <c r="F244" s="8">
        <v>1.3194394538268055</v>
      </c>
      <c r="G244" s="8">
        <v>1.0644455424578245</v>
      </c>
      <c r="H244" s="8">
        <v>1.3147718484145399</v>
      </c>
      <c r="I244" s="8">
        <v>1.0667598741698707</v>
      </c>
      <c r="J244" s="8">
        <v>1.7226428079834823</v>
      </c>
      <c r="K244" s="8">
        <v>2.3343527013251784</v>
      </c>
      <c r="L244" s="8">
        <v>3.0626857606052416</v>
      </c>
      <c r="M244" s="8">
        <v>3.3778569089928836</v>
      </c>
      <c r="N244" s="8">
        <v>3.8253961294184662</v>
      </c>
    </row>
    <row r="245" spans="1:14" x14ac:dyDescent="0.25">
      <c r="A245" s="6" t="s">
        <v>480</v>
      </c>
      <c r="B245" s="7" t="s">
        <v>481</v>
      </c>
      <c r="C245" s="7" t="s">
        <v>482</v>
      </c>
      <c r="D245" s="7"/>
      <c r="E245" s="8">
        <v>-5</v>
      </c>
      <c r="F245" s="8">
        <v>1375</v>
      </c>
      <c r="G245" s="8">
        <v>1132</v>
      </c>
      <c r="H245" s="8">
        <v>1316</v>
      </c>
      <c r="I245" s="8">
        <v>938</v>
      </c>
      <c r="J245" s="8">
        <v>1792</v>
      </c>
      <c r="K245" s="8">
        <v>2648</v>
      </c>
      <c r="L245" s="8">
        <v>3659</v>
      </c>
      <c r="M245" s="8">
        <v>4076.39125673737</v>
      </c>
      <c r="N245" s="8">
        <v>4700.5307596633302</v>
      </c>
    </row>
    <row r="246" spans="1:14" x14ac:dyDescent="0.25">
      <c r="A246" s="6" t="s">
        <v>1054</v>
      </c>
      <c r="B246" s="7" t="s">
        <v>428</v>
      </c>
      <c r="C246" s="7" t="s">
        <v>429</v>
      </c>
      <c r="D246" s="7"/>
      <c r="E246" s="8">
        <v>3.2169398350809328</v>
      </c>
      <c r="F246" s="8">
        <v>4.2943642291569635</v>
      </c>
      <c r="G246" s="8">
        <v>3.7929990921012813</v>
      </c>
      <c r="H246" s="8">
        <v>4.6601615074024227</v>
      </c>
      <c r="I246" s="8">
        <v>4.6364926667718027</v>
      </c>
      <c r="J246" s="8">
        <v>4.992977528089888</v>
      </c>
      <c r="K246" s="8">
        <v>4.7172627933361193</v>
      </c>
      <c r="L246" s="8">
        <v>4.3638537411577163</v>
      </c>
      <c r="M246" s="8">
        <v>4.1285863628106707</v>
      </c>
      <c r="N246" s="8">
        <v>4.1644219634048705</v>
      </c>
    </row>
    <row r="247" spans="1:14" x14ac:dyDescent="0.25">
      <c r="A247" s="6" t="s">
        <v>17</v>
      </c>
      <c r="B247" s="7"/>
      <c r="C247" s="7"/>
      <c r="D247" s="7"/>
      <c r="E247" s="8"/>
      <c r="F247" s="8"/>
      <c r="G247" s="8"/>
      <c r="H247" s="8"/>
      <c r="I247" s="8"/>
      <c r="J247" s="8"/>
      <c r="K247" s="8"/>
      <c r="L247" s="8"/>
      <c r="M247" s="8"/>
      <c r="N247" s="8"/>
    </row>
    <row r="248" spans="1:14" x14ac:dyDescent="0.25">
      <c r="A248" s="9" t="s">
        <v>492</v>
      </c>
      <c r="B248" s="9"/>
      <c r="C248" s="9"/>
      <c r="D248" s="9"/>
      <c r="E248" s="9"/>
      <c r="F248" s="9"/>
      <c r="G248" s="9"/>
      <c r="H248" s="9"/>
      <c r="I248" s="9"/>
      <c r="J248" s="9"/>
      <c r="K248" s="9"/>
      <c r="L248" s="9"/>
      <c r="M248" s="9"/>
      <c r="N248"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A98B-FDDC-45BD-ADBA-144B2E62F38F}">
  <sheetPr codeName="Sheet19">
    <tabColor theme="6"/>
  </sheetPr>
  <dimension ref="A1:N215"/>
  <sheetViews>
    <sheetView workbookViewId="0">
      <selection activeCell="A180" sqref="A180"/>
    </sheetView>
  </sheetViews>
  <sheetFormatPr defaultRowHeight="15" x14ac:dyDescent="0.25"/>
  <cols>
    <col min="1" max="1" width="34.28515625" customWidth="1"/>
    <col min="2" max="4" width="0" hidden="1" customWidth="1"/>
    <col min="5" max="14" width="19" customWidth="1"/>
  </cols>
  <sheetData>
    <row r="1" spans="1:14" ht="20.25" x14ac:dyDescent="0.25">
      <c r="A1" s="1" t="s">
        <v>1472</v>
      </c>
      <c r="B1" s="1"/>
      <c r="C1" s="1"/>
      <c r="D1" s="1"/>
      <c r="E1" s="1"/>
      <c r="F1" s="1"/>
      <c r="G1" s="1"/>
      <c r="H1" s="1"/>
      <c r="I1" s="1"/>
      <c r="J1" s="1"/>
      <c r="K1" s="1"/>
      <c r="L1" s="1"/>
      <c r="M1" s="1"/>
      <c r="N1" s="1"/>
    </row>
    <row r="2" spans="1:14" x14ac:dyDescent="0.25">
      <c r="A2" s="2" t="s">
        <v>1471</v>
      </c>
      <c r="B2" s="2"/>
      <c r="C2" s="2"/>
      <c r="D2" s="2"/>
      <c r="E2" s="2"/>
      <c r="F2" s="2"/>
      <c r="G2" s="2"/>
      <c r="H2" s="2"/>
      <c r="I2" s="2"/>
      <c r="J2" s="2"/>
      <c r="K2" s="2"/>
      <c r="L2" s="2"/>
      <c r="M2" s="2"/>
    </row>
    <row r="3" spans="1:14" x14ac:dyDescent="0.25">
      <c r="A3" s="3" t="s">
        <v>2</v>
      </c>
      <c r="B3" s="3"/>
      <c r="C3" s="3"/>
      <c r="D3" s="3"/>
      <c r="E3" s="3" t="s">
        <v>1473</v>
      </c>
      <c r="F3" s="3" t="s">
        <v>1474</v>
      </c>
      <c r="G3" s="3" t="s">
        <v>1475</v>
      </c>
      <c r="H3" s="3" t="s">
        <v>1476</v>
      </c>
      <c r="I3" s="3" t="s">
        <v>1477</v>
      </c>
      <c r="J3" s="3" t="s">
        <v>1478</v>
      </c>
      <c r="K3" s="3" t="s">
        <v>1479</v>
      </c>
      <c r="L3" s="3" t="s">
        <v>1480</v>
      </c>
      <c r="M3" s="3" t="s">
        <v>1481</v>
      </c>
      <c r="N3" s="3" t="s">
        <v>1482</v>
      </c>
    </row>
    <row r="4" spans="1:14" x14ac:dyDescent="0.25">
      <c r="A4" s="4" t="s">
        <v>3</v>
      </c>
      <c r="B4" s="4" t="s">
        <v>4</v>
      </c>
      <c r="C4" s="4" t="s">
        <v>5</v>
      </c>
      <c r="D4" s="4" t="s">
        <v>6</v>
      </c>
      <c r="E4" s="5">
        <v>43465</v>
      </c>
      <c r="F4" s="5">
        <v>43830</v>
      </c>
      <c r="G4" s="5">
        <v>44196</v>
      </c>
      <c r="H4" s="5">
        <v>44561</v>
      </c>
      <c r="I4" s="5">
        <v>44926</v>
      </c>
      <c r="J4" s="5">
        <v>45291</v>
      </c>
      <c r="K4" s="5">
        <v>45657</v>
      </c>
      <c r="L4" s="5">
        <v>46022</v>
      </c>
      <c r="M4" s="5">
        <v>46387</v>
      </c>
      <c r="N4" s="5">
        <v>46752</v>
      </c>
    </row>
    <row r="5" spans="1:14" x14ac:dyDescent="0.25">
      <c r="A5" s="6" t="s">
        <v>1516</v>
      </c>
      <c r="B5" s="7"/>
      <c r="C5" s="7"/>
      <c r="D5" s="7"/>
      <c r="E5" s="8"/>
      <c r="F5" s="8"/>
      <c r="G5" s="8"/>
      <c r="H5" s="8"/>
      <c r="I5" s="8"/>
      <c r="J5" s="8"/>
      <c r="K5" s="8"/>
      <c r="L5" s="8"/>
      <c r="M5" s="8"/>
      <c r="N5" s="8"/>
    </row>
    <row r="6" spans="1:14" x14ac:dyDescent="0.25">
      <c r="A6" s="6" t="s">
        <v>1517</v>
      </c>
      <c r="B6" s="7" t="s">
        <v>9</v>
      </c>
      <c r="C6" s="7" t="s">
        <v>10</v>
      </c>
      <c r="D6" s="7"/>
      <c r="E6" s="8">
        <v>1.5666666666666667</v>
      </c>
      <c r="F6" s="8">
        <v>1.8566666666666667</v>
      </c>
      <c r="G6" s="8">
        <v>1.86</v>
      </c>
      <c r="H6" s="8">
        <v>2.2200000000000002</v>
      </c>
      <c r="I6" s="8">
        <v>2.48</v>
      </c>
      <c r="J6" s="8">
        <v>2.5099999999999998</v>
      </c>
      <c r="K6" s="8">
        <v>2.4300000000000002</v>
      </c>
      <c r="L6" s="8">
        <v>2.56</v>
      </c>
      <c r="M6" s="8">
        <v>2.9620000000000002</v>
      </c>
      <c r="N6" s="8">
        <v>3.3203448275862071</v>
      </c>
    </row>
    <row r="7" spans="1:14" x14ac:dyDescent="0.25">
      <c r="A7" s="6" t="s">
        <v>1518</v>
      </c>
      <c r="B7" s="7" t="s">
        <v>12</v>
      </c>
      <c r="C7" s="7" t="s">
        <v>13</v>
      </c>
      <c r="D7" s="7"/>
      <c r="E7" s="8">
        <v>3813.3</v>
      </c>
      <c r="F7" s="8">
        <v>4348</v>
      </c>
      <c r="G7" s="8">
        <v>4386.3</v>
      </c>
      <c r="H7" s="8">
        <v>5232.5</v>
      </c>
      <c r="I7" s="8">
        <v>5382.4</v>
      </c>
      <c r="J7" s="8">
        <v>6004.8</v>
      </c>
      <c r="K7" s="8">
        <v>5439.5</v>
      </c>
      <c r="L7" s="8">
        <v>6067.6</v>
      </c>
      <c r="M7" s="8">
        <v>6677.1333333333332</v>
      </c>
      <c r="N7" s="8">
        <v>7328.2333333333327</v>
      </c>
    </row>
    <row r="8" spans="1:14" x14ac:dyDescent="0.25">
      <c r="A8" s="6"/>
      <c r="B8" s="7"/>
      <c r="C8" s="7"/>
      <c r="D8" s="7"/>
      <c r="E8" s="8"/>
      <c r="F8" s="8"/>
      <c r="G8" s="8"/>
      <c r="H8" s="8"/>
      <c r="I8" s="8"/>
      <c r="J8" s="8"/>
      <c r="K8" s="8"/>
      <c r="L8" s="8"/>
      <c r="M8" s="8"/>
      <c r="N8" s="8"/>
    </row>
    <row r="9" spans="1:14" x14ac:dyDescent="0.25">
      <c r="A9" s="6" t="s">
        <v>1519</v>
      </c>
      <c r="B9" s="7" t="s">
        <v>15</v>
      </c>
      <c r="C9" s="7" t="s">
        <v>16</v>
      </c>
      <c r="D9" s="7"/>
      <c r="E9" s="8">
        <v>10</v>
      </c>
      <c r="F9" s="8">
        <v>15.3</v>
      </c>
      <c r="G9" s="8">
        <v>0.6</v>
      </c>
      <c r="H9" s="8">
        <v>17.8</v>
      </c>
      <c r="I9" s="8">
        <v>7.7</v>
      </c>
      <c r="J9" s="8">
        <v>12.1</v>
      </c>
      <c r="K9" s="8">
        <v>8.9</v>
      </c>
      <c r="L9" s="8">
        <v>10.7</v>
      </c>
      <c r="M9" s="8">
        <v>9.4872493241555524</v>
      </c>
      <c r="N9" s="8">
        <v>9.7081572063746577</v>
      </c>
    </row>
    <row r="10" spans="1:14" x14ac:dyDescent="0.25">
      <c r="A10" s="6"/>
      <c r="B10" s="7"/>
      <c r="C10" s="7"/>
      <c r="D10" s="7"/>
      <c r="E10" s="8"/>
      <c r="F10" s="8"/>
      <c r="G10" s="8"/>
      <c r="H10" s="8"/>
      <c r="I10" s="8"/>
      <c r="J10" s="8"/>
      <c r="K10" s="8"/>
      <c r="L10" s="8"/>
      <c r="M10" s="8"/>
      <c r="N10" s="8"/>
    </row>
    <row r="11" spans="1:14" x14ac:dyDescent="0.25">
      <c r="A11" s="6" t="s">
        <v>1520</v>
      </c>
      <c r="B11" s="7"/>
      <c r="C11" s="7"/>
      <c r="D11" s="7"/>
      <c r="E11" s="8"/>
      <c r="F11" s="8"/>
      <c r="G11" s="8"/>
      <c r="H11" s="8"/>
      <c r="I11" s="8"/>
      <c r="J11" s="8"/>
      <c r="K11" s="8"/>
      <c r="L11" s="8"/>
      <c r="M11" s="8"/>
      <c r="N11" s="8"/>
    </row>
    <row r="12" spans="1:14" x14ac:dyDescent="0.25">
      <c r="A12" s="6" t="s">
        <v>1521</v>
      </c>
      <c r="B12" s="7" t="s">
        <v>20</v>
      </c>
      <c r="C12" s="7" t="s">
        <v>21</v>
      </c>
      <c r="D12" s="7" t="s">
        <v>1467</v>
      </c>
      <c r="E12" s="8">
        <v>2283.8000000000002</v>
      </c>
      <c r="F12" s="8">
        <v>2737.9</v>
      </c>
      <c r="G12" s="8">
        <v>2857.3</v>
      </c>
      <c r="H12" s="8">
        <v>3422.5</v>
      </c>
      <c r="I12" s="8">
        <v>3518.2</v>
      </c>
      <c r="J12" s="8">
        <v>3879.8</v>
      </c>
      <c r="K12" s="8">
        <v>4106.1000000000004</v>
      </c>
      <c r="L12" s="8">
        <v>4487.7</v>
      </c>
      <c r="M12" s="8">
        <v>4833.1668500986252</v>
      </c>
      <c r="N12" s="8">
        <v>5175.0950781210695</v>
      </c>
    </row>
    <row r="13" spans="1:14" x14ac:dyDescent="0.25">
      <c r="A13" s="6" t="s">
        <v>1522</v>
      </c>
      <c r="B13" s="7" t="s">
        <v>20</v>
      </c>
      <c r="C13" s="7" t="s">
        <v>21</v>
      </c>
      <c r="D13" s="7" t="s">
        <v>1466</v>
      </c>
      <c r="E13" s="8">
        <v>2.9</v>
      </c>
      <c r="F13" s="8">
        <v>28.2</v>
      </c>
      <c r="G13" s="8">
        <v>41.800000000000004</v>
      </c>
      <c r="H13" s="8">
        <v>86</v>
      </c>
      <c r="I13" s="8">
        <v>116.1</v>
      </c>
      <c r="J13" s="8">
        <v>197.6</v>
      </c>
      <c r="K13" s="8">
        <v>352.1</v>
      </c>
      <c r="L13" s="8">
        <v>550.6</v>
      </c>
      <c r="M13" s="8">
        <v>758.1605716021935</v>
      </c>
      <c r="N13" s="8">
        <v>1016.3783400543123</v>
      </c>
    </row>
    <row r="14" spans="1:14" x14ac:dyDescent="0.25">
      <c r="A14" s="6" t="s">
        <v>1523</v>
      </c>
      <c r="B14" s="7" t="s">
        <v>20</v>
      </c>
      <c r="C14" s="7" t="s">
        <v>21</v>
      </c>
      <c r="D14" s="7" t="s">
        <v>1465</v>
      </c>
      <c r="E14" s="8">
        <v>761.6</v>
      </c>
      <c r="F14" s="8">
        <v>841.7</v>
      </c>
      <c r="G14" s="8">
        <v>761.80000000000007</v>
      </c>
      <c r="H14" s="8">
        <v>889.1</v>
      </c>
      <c r="I14" s="8">
        <v>893.1</v>
      </c>
      <c r="J14" s="8">
        <v>932.6</v>
      </c>
      <c r="K14" s="8">
        <v>981.3</v>
      </c>
      <c r="L14" s="8">
        <v>1029.3</v>
      </c>
      <c r="M14" s="8">
        <v>1079.068919759914</v>
      </c>
      <c r="N14" s="8">
        <v>1123.0593593834908</v>
      </c>
    </row>
    <row r="15" spans="1:14" x14ac:dyDescent="0.25">
      <c r="A15" s="6"/>
      <c r="B15" s="7"/>
      <c r="C15" s="7"/>
      <c r="D15" s="7"/>
      <c r="E15" s="8"/>
      <c r="F15" s="8"/>
      <c r="G15" s="8"/>
      <c r="H15" s="8"/>
      <c r="I15" s="8"/>
      <c r="J15" s="8"/>
      <c r="K15" s="8"/>
      <c r="L15" s="8"/>
      <c r="M15" s="8"/>
      <c r="N15" s="8"/>
    </row>
    <row r="16" spans="1:14" x14ac:dyDescent="0.25">
      <c r="A16" s="6" t="s">
        <v>1524</v>
      </c>
      <c r="B16" s="7"/>
      <c r="C16" s="7"/>
      <c r="D16" s="7"/>
      <c r="E16" s="8"/>
      <c r="F16" s="8"/>
      <c r="G16" s="8"/>
      <c r="H16" s="8"/>
      <c r="I16" s="8"/>
      <c r="J16" s="8"/>
      <c r="K16" s="8"/>
      <c r="L16" s="8"/>
      <c r="M16" s="8"/>
      <c r="N16" s="8"/>
    </row>
    <row r="17" spans="1:14" x14ac:dyDescent="0.25">
      <c r="A17" s="6" t="s">
        <v>1525</v>
      </c>
      <c r="B17" s="7" t="s">
        <v>20</v>
      </c>
      <c r="C17" s="7" t="s">
        <v>21</v>
      </c>
      <c r="D17" s="7" t="s">
        <v>1464</v>
      </c>
      <c r="E17" s="8">
        <v>674.5</v>
      </c>
      <c r="F17" s="8">
        <v>740.2</v>
      </c>
      <c r="G17" s="8">
        <v>725.4</v>
      </c>
      <c r="H17" s="8">
        <v>834.9</v>
      </c>
      <c r="I17" s="8">
        <v>855</v>
      </c>
      <c r="J17" s="8">
        <v>928.1</v>
      </c>
      <c r="K17" s="8" t="s">
        <v>1483</v>
      </c>
      <c r="L17" s="8" t="s">
        <v>1483</v>
      </c>
      <c r="M17" s="8">
        <v>281.89326240000003</v>
      </c>
      <c r="N17" s="8">
        <v>298.80685814400005</v>
      </c>
    </row>
    <row r="18" spans="1:14" x14ac:dyDescent="0.25">
      <c r="A18" s="6"/>
      <c r="B18" s="7"/>
      <c r="C18" s="7"/>
      <c r="D18" s="7"/>
      <c r="E18" s="8"/>
      <c r="F18" s="8"/>
      <c r="G18" s="8"/>
      <c r="H18" s="8"/>
      <c r="I18" s="8"/>
      <c r="J18" s="8"/>
      <c r="K18" s="8"/>
      <c r="L18" s="8"/>
      <c r="M18" s="8"/>
      <c r="N18" s="8"/>
    </row>
    <row r="19" spans="1:14" x14ac:dyDescent="0.25">
      <c r="A19" s="6" t="s">
        <v>1526</v>
      </c>
      <c r="B19" s="7" t="s">
        <v>1458</v>
      </c>
      <c r="C19" s="7" t="s">
        <v>1457</v>
      </c>
      <c r="D19" s="7"/>
      <c r="E19" s="8">
        <v>75.099999999999994</v>
      </c>
      <c r="F19" s="8">
        <v>76.2</v>
      </c>
      <c r="G19" s="8">
        <v>75.5</v>
      </c>
      <c r="H19" s="8">
        <v>76.3</v>
      </c>
      <c r="I19" s="8">
        <v>80.099999999999994</v>
      </c>
      <c r="J19" s="8">
        <v>80.5</v>
      </c>
      <c r="K19" s="8">
        <v>79.5</v>
      </c>
      <c r="L19" s="8">
        <v>78.099999999999994</v>
      </c>
      <c r="M19" s="8">
        <v>78.444264699867901</v>
      </c>
      <c r="N19" s="8">
        <v>78.621160258548173</v>
      </c>
    </row>
    <row r="20" spans="1:14" x14ac:dyDescent="0.25">
      <c r="A20" s="6" t="s">
        <v>1527</v>
      </c>
      <c r="B20" s="7" t="s">
        <v>626</v>
      </c>
      <c r="C20" s="7" t="s">
        <v>625</v>
      </c>
      <c r="D20" s="7"/>
      <c r="E20" s="8">
        <v>30.990114967228966</v>
      </c>
      <c r="F20" s="8">
        <v>30.27598896044158</v>
      </c>
      <c r="G20" s="8">
        <v>30.139297357681873</v>
      </c>
      <c r="H20" s="8">
        <v>30.473005255613948</v>
      </c>
      <c r="I20" s="8">
        <v>33.377303804994057</v>
      </c>
      <c r="J20" s="8">
        <v>29.69261477045908</v>
      </c>
      <c r="K20" s="8">
        <v>27.842632594907617</v>
      </c>
      <c r="L20" s="8">
        <v>27.086492188015033</v>
      </c>
      <c r="M20" s="8">
        <v>28.756032708344243</v>
      </c>
      <c r="N20" s="8">
        <v>29.283616502926925</v>
      </c>
    </row>
    <row r="21" spans="1:14" x14ac:dyDescent="0.25">
      <c r="A21" s="6"/>
      <c r="B21" s="7"/>
      <c r="C21" s="7"/>
      <c r="D21" s="7"/>
      <c r="E21" s="8"/>
      <c r="F21" s="8"/>
      <c r="G21" s="8"/>
      <c r="H21" s="8"/>
      <c r="I21" s="8"/>
      <c r="J21" s="8"/>
      <c r="K21" s="8"/>
      <c r="L21" s="8"/>
      <c r="M21" s="8"/>
      <c r="N21" s="8"/>
    </row>
    <row r="22" spans="1:14" x14ac:dyDescent="0.25">
      <c r="A22" s="6" t="s">
        <v>1528</v>
      </c>
      <c r="B22" s="7" t="s">
        <v>331</v>
      </c>
      <c r="C22" s="7" t="s">
        <v>332</v>
      </c>
      <c r="D22" s="7"/>
      <c r="E22" s="8">
        <v>593.79999999999995</v>
      </c>
      <c r="F22" s="8">
        <v>594.4</v>
      </c>
      <c r="G22" s="8">
        <v>595</v>
      </c>
      <c r="H22" s="8">
        <v>595.70000000000005</v>
      </c>
      <c r="I22" s="8">
        <v>596.29999999999995</v>
      </c>
      <c r="J22" s="8">
        <v>597</v>
      </c>
      <c r="K22" s="8">
        <v>597.70000000000005</v>
      </c>
      <c r="L22" s="8">
        <v>598.29999999999995</v>
      </c>
      <c r="M22" s="8">
        <v>597.85</v>
      </c>
      <c r="N22" s="8">
        <v>597.85</v>
      </c>
    </row>
    <row r="23" spans="1:14" x14ac:dyDescent="0.25">
      <c r="A23" s="6" t="s">
        <v>1529</v>
      </c>
      <c r="B23" s="7" t="s">
        <v>59</v>
      </c>
      <c r="C23" s="7" t="s">
        <v>60</v>
      </c>
      <c r="D23" s="7"/>
      <c r="E23" s="8">
        <v>688.09999999999991</v>
      </c>
      <c r="F23" s="8">
        <v>928.50000000000011</v>
      </c>
      <c r="G23" s="8">
        <v>647</v>
      </c>
      <c r="H23" s="8">
        <v>1406.3</v>
      </c>
      <c r="I23" s="8">
        <v>973.6</v>
      </c>
      <c r="J23" s="8">
        <v>642.79999999999995</v>
      </c>
      <c r="K23" s="8">
        <v>289.89999999999998</v>
      </c>
      <c r="L23" s="8">
        <v>1335</v>
      </c>
      <c r="M23" s="8">
        <v>1487.9880195616986</v>
      </c>
      <c r="N23" s="8">
        <v>1653.7375860982311</v>
      </c>
    </row>
    <row r="24" spans="1:14" x14ac:dyDescent="0.25">
      <c r="A24" s="6"/>
      <c r="B24" s="7"/>
      <c r="C24" s="7"/>
      <c r="D24" s="7"/>
      <c r="E24" s="8"/>
      <c r="F24" s="8"/>
      <c r="G24" s="8"/>
      <c r="H24" s="8"/>
      <c r="I24" s="8"/>
      <c r="J24" s="8"/>
      <c r="K24" s="8"/>
      <c r="L24" s="8"/>
      <c r="M24" s="8"/>
      <c r="N24" s="8"/>
    </row>
    <row r="25" spans="1:14" x14ac:dyDescent="0.25">
      <c r="A25" s="6" t="s">
        <v>1530</v>
      </c>
      <c r="B25" s="7"/>
      <c r="C25" s="7"/>
      <c r="D25" s="7"/>
      <c r="E25" s="8"/>
      <c r="F25" s="8"/>
      <c r="G25" s="8"/>
      <c r="H25" s="8"/>
      <c r="I25" s="8"/>
      <c r="J25" s="8"/>
      <c r="K25" s="8"/>
      <c r="L25" s="8"/>
      <c r="M25" s="8"/>
      <c r="N25" s="8"/>
    </row>
    <row r="26" spans="1:14" x14ac:dyDescent="0.25">
      <c r="A26" s="6"/>
      <c r="B26" s="7"/>
      <c r="C26" s="7"/>
      <c r="D26" s="7"/>
      <c r="E26" s="8"/>
      <c r="F26" s="8"/>
      <c r="G26" s="8"/>
      <c r="H26" s="8"/>
      <c r="I26" s="8"/>
      <c r="J26" s="8"/>
      <c r="K26" s="8"/>
      <c r="L26" s="8"/>
      <c r="M26" s="8"/>
      <c r="N26" s="8"/>
    </row>
    <row r="27" spans="1:14" x14ac:dyDescent="0.25">
      <c r="A27" s="6" t="s">
        <v>1531</v>
      </c>
      <c r="B27" s="7"/>
      <c r="C27" s="7"/>
      <c r="D27" s="7"/>
      <c r="E27" s="8"/>
      <c r="F27" s="8"/>
      <c r="G27" s="8"/>
      <c r="H27" s="8"/>
      <c r="I27" s="8"/>
      <c r="J27" s="8"/>
      <c r="K27" s="8"/>
      <c r="L27" s="8"/>
      <c r="M27" s="8"/>
      <c r="N27" s="8"/>
    </row>
    <row r="28" spans="1:14" x14ac:dyDescent="0.25">
      <c r="A28" s="6" t="s">
        <v>1532</v>
      </c>
      <c r="B28" s="7" t="s">
        <v>15</v>
      </c>
      <c r="C28" s="7" t="s">
        <v>16</v>
      </c>
      <c r="D28" s="7"/>
      <c r="E28" s="8">
        <v>10</v>
      </c>
      <c r="F28" s="8">
        <v>15.3</v>
      </c>
      <c r="G28" s="8">
        <v>0.6</v>
      </c>
      <c r="H28" s="8">
        <v>17.8</v>
      </c>
      <c r="I28" s="8">
        <v>7.7</v>
      </c>
      <c r="J28" s="8">
        <v>12.1</v>
      </c>
      <c r="K28" s="8">
        <v>8.9</v>
      </c>
      <c r="L28" s="8">
        <v>10.7</v>
      </c>
      <c r="M28" s="8">
        <v>9.4872493241555524</v>
      </c>
      <c r="N28" s="8">
        <v>9.7081572063746577</v>
      </c>
    </row>
    <row r="29" spans="1:14" x14ac:dyDescent="0.25">
      <c r="A29" s="6" t="s">
        <v>1521</v>
      </c>
      <c r="B29" s="7" t="s">
        <v>1219</v>
      </c>
      <c r="C29" s="7" t="s">
        <v>1218</v>
      </c>
      <c r="D29" s="7" t="s">
        <v>1467</v>
      </c>
      <c r="E29" s="8" t="s">
        <v>1483</v>
      </c>
      <c r="F29" s="8">
        <v>21.2</v>
      </c>
      <c r="G29" s="8">
        <v>4.2</v>
      </c>
      <c r="H29" s="8">
        <v>18.399999999999999</v>
      </c>
      <c r="I29" s="8">
        <v>7.2</v>
      </c>
      <c r="J29" s="8">
        <v>10.6</v>
      </c>
      <c r="K29" s="8">
        <v>6.2</v>
      </c>
      <c r="L29" s="8">
        <v>8.6</v>
      </c>
      <c r="M29" s="8">
        <v>7.1557940353632965</v>
      </c>
      <c r="N29" s="8">
        <v>7.0103627492437504</v>
      </c>
    </row>
    <row r="30" spans="1:14" x14ac:dyDescent="0.25">
      <c r="A30" s="6" t="s">
        <v>1533</v>
      </c>
      <c r="B30" s="7" t="s">
        <v>1219</v>
      </c>
      <c r="C30" s="7" t="s">
        <v>1218</v>
      </c>
      <c r="D30" s="7" t="s">
        <v>1466</v>
      </c>
      <c r="E30" s="8" t="s">
        <v>1483</v>
      </c>
      <c r="F30" s="8" t="s">
        <v>1483</v>
      </c>
      <c r="G30" s="8">
        <v>46.2</v>
      </c>
      <c r="H30" s="8">
        <v>99.7</v>
      </c>
      <c r="I30" s="8">
        <v>47.6</v>
      </c>
      <c r="J30" s="8">
        <v>66.8</v>
      </c>
      <c r="K30" s="8">
        <v>76.900000000000006</v>
      </c>
      <c r="L30" s="8">
        <v>53.1</v>
      </c>
      <c r="M30" s="8">
        <v>37.457948389578434</v>
      </c>
      <c r="N30" s="8">
        <v>34.137442842391565</v>
      </c>
    </row>
    <row r="31" spans="1:14" x14ac:dyDescent="0.25">
      <c r="A31" s="6" t="s">
        <v>1523</v>
      </c>
      <c r="B31" s="7" t="s">
        <v>1219</v>
      </c>
      <c r="C31" s="7" t="s">
        <v>1218</v>
      </c>
      <c r="D31" s="7" t="s">
        <v>1465</v>
      </c>
      <c r="E31" s="8">
        <v>3.4</v>
      </c>
      <c r="F31" s="8">
        <v>1.5</v>
      </c>
      <c r="G31" s="8">
        <v>-9.6</v>
      </c>
      <c r="H31" s="8">
        <v>14.8</v>
      </c>
      <c r="I31" s="8">
        <v>6</v>
      </c>
      <c r="J31" s="8">
        <v>12.7</v>
      </c>
      <c r="K31" s="8">
        <v>5.8</v>
      </c>
      <c r="L31" s="8">
        <v>4.3</v>
      </c>
      <c r="M31" s="8">
        <v>4.3107183359817869</v>
      </c>
      <c r="N31" s="8">
        <v>4.3959008256342731</v>
      </c>
    </row>
    <row r="32" spans="1:14" x14ac:dyDescent="0.25">
      <c r="A32" s="6"/>
      <c r="B32" s="7"/>
      <c r="C32" s="7"/>
      <c r="D32" s="7"/>
      <c r="E32" s="8"/>
      <c r="F32" s="8"/>
      <c r="G32" s="8"/>
      <c r="H32" s="8"/>
      <c r="I32" s="8"/>
      <c r="J32" s="8"/>
      <c r="K32" s="8"/>
      <c r="L32" s="8"/>
      <c r="M32" s="8"/>
      <c r="N32" s="8"/>
    </row>
    <row r="33" spans="1:14" x14ac:dyDescent="0.25">
      <c r="A33" s="6" t="s">
        <v>1534</v>
      </c>
      <c r="B33" s="7"/>
      <c r="C33" s="7"/>
      <c r="D33" s="7"/>
      <c r="E33" s="8"/>
      <c r="F33" s="8"/>
      <c r="G33" s="8"/>
      <c r="H33" s="8"/>
      <c r="I33" s="8"/>
      <c r="J33" s="8"/>
      <c r="K33" s="8"/>
      <c r="L33" s="8"/>
      <c r="M33" s="8"/>
      <c r="N33" s="8"/>
    </row>
    <row r="34" spans="1:14" x14ac:dyDescent="0.25">
      <c r="A34" s="6" t="s">
        <v>1521</v>
      </c>
      <c r="B34" s="7" t="s">
        <v>1470</v>
      </c>
      <c r="C34" s="7" t="s">
        <v>1469</v>
      </c>
      <c r="D34" s="7" t="s">
        <v>1467</v>
      </c>
      <c r="E34" s="8" t="s">
        <v>1483</v>
      </c>
      <c r="F34" s="8">
        <v>-32.700000000000003</v>
      </c>
      <c r="G34" s="8">
        <v>5</v>
      </c>
      <c r="H34" s="8">
        <v>33.9</v>
      </c>
      <c r="I34" s="8">
        <v>-140.19999999999999</v>
      </c>
      <c r="J34" s="8">
        <v>-11.3</v>
      </c>
      <c r="K34" s="8">
        <v>-13.6</v>
      </c>
      <c r="L34" s="8">
        <v>26.7</v>
      </c>
      <c r="M34" s="8">
        <v>27.055442430640863</v>
      </c>
      <c r="N34" s="8">
        <v>-1.6666666666666667</v>
      </c>
    </row>
    <row r="35" spans="1:14" x14ac:dyDescent="0.25">
      <c r="A35" s="6" t="s">
        <v>1535</v>
      </c>
      <c r="B35" s="7" t="s">
        <v>1470</v>
      </c>
      <c r="C35" s="7" t="s">
        <v>1469</v>
      </c>
      <c r="D35" s="7" t="s">
        <v>1466</v>
      </c>
      <c r="E35" s="8" t="s">
        <v>1483</v>
      </c>
      <c r="F35" s="8">
        <v>-0.1</v>
      </c>
      <c r="G35" s="8">
        <v>0.4</v>
      </c>
      <c r="H35" s="8">
        <v>1.3</v>
      </c>
      <c r="I35" s="8">
        <v>-7.4</v>
      </c>
      <c r="J35" s="8">
        <v>2.4</v>
      </c>
      <c r="K35" s="8">
        <v>1.5</v>
      </c>
      <c r="L35" s="8">
        <v>5.8</v>
      </c>
      <c r="M35" s="8">
        <v>5.1613931092007537</v>
      </c>
      <c r="N35" s="8">
        <v>0</v>
      </c>
    </row>
    <row r="36" spans="1:14" x14ac:dyDescent="0.25">
      <c r="A36" s="6" t="s">
        <v>1523</v>
      </c>
      <c r="B36" s="7" t="s">
        <v>1470</v>
      </c>
      <c r="C36" s="7" t="s">
        <v>1469</v>
      </c>
      <c r="D36" s="7" t="s">
        <v>1465</v>
      </c>
      <c r="E36" s="8">
        <v>9.1999999999999993</v>
      </c>
      <c r="F36" s="8">
        <v>-14.5</v>
      </c>
      <c r="G36" s="8">
        <v>1</v>
      </c>
      <c r="H36" s="8">
        <v>13.1</v>
      </c>
      <c r="I36" s="8">
        <v>-46.5</v>
      </c>
      <c r="J36" s="8">
        <v>-6.4</v>
      </c>
      <c r="K36" s="8">
        <v>-5.0999999999999996</v>
      </c>
      <c r="L36" s="8">
        <v>5.9</v>
      </c>
      <c r="M36" s="8">
        <v>7.7047677339993168</v>
      </c>
      <c r="N36" s="8">
        <v>0</v>
      </c>
    </row>
    <row r="37" spans="1:14" x14ac:dyDescent="0.25">
      <c r="A37" s="6"/>
      <c r="B37" s="7"/>
      <c r="C37" s="7"/>
      <c r="D37" s="7"/>
      <c r="E37" s="8"/>
      <c r="F37" s="8"/>
      <c r="G37" s="8"/>
      <c r="H37" s="8"/>
      <c r="I37" s="8"/>
      <c r="J37" s="8"/>
      <c r="K37" s="8"/>
      <c r="L37" s="8"/>
      <c r="M37" s="8"/>
      <c r="N37" s="8"/>
    </row>
    <row r="38" spans="1:14" x14ac:dyDescent="0.25">
      <c r="A38" s="6" t="s">
        <v>1534</v>
      </c>
      <c r="B38" s="7"/>
      <c r="C38" s="7"/>
      <c r="D38" s="7"/>
      <c r="E38" s="8"/>
      <c r="F38" s="8"/>
      <c r="G38" s="8"/>
      <c r="H38" s="8"/>
      <c r="I38" s="8"/>
      <c r="J38" s="8"/>
      <c r="K38" s="8"/>
      <c r="L38" s="8"/>
      <c r="M38" s="8"/>
      <c r="N38" s="8"/>
    </row>
    <row r="39" spans="1:14" x14ac:dyDescent="0.25">
      <c r="A39" s="6" t="s">
        <v>1536</v>
      </c>
      <c r="B39" s="7" t="s">
        <v>1470</v>
      </c>
      <c r="C39" s="7" t="s">
        <v>1469</v>
      </c>
      <c r="D39" s="7" t="s">
        <v>1462</v>
      </c>
      <c r="E39" s="8">
        <v>34.299999999999997</v>
      </c>
      <c r="F39" s="8">
        <v>-56.4</v>
      </c>
      <c r="G39" s="8">
        <v>4.9000000000000004</v>
      </c>
      <c r="H39" s="8">
        <v>57.3</v>
      </c>
      <c r="I39" s="8">
        <v>-233.6</v>
      </c>
      <c r="J39" s="8">
        <v>-25.6</v>
      </c>
      <c r="K39" s="8">
        <v>-17.2</v>
      </c>
      <c r="L39" s="8">
        <v>38.4</v>
      </c>
      <c r="M39" s="8">
        <v>40.49025817558578</v>
      </c>
      <c r="N39" s="8">
        <v>-1.3924714362199069</v>
      </c>
    </row>
    <row r="40" spans="1:14" x14ac:dyDescent="0.25">
      <c r="A40" s="6" t="s">
        <v>1537</v>
      </c>
      <c r="B40" s="7" t="s">
        <v>1470</v>
      </c>
      <c r="C40" s="7" t="s">
        <v>1469</v>
      </c>
      <c r="D40" s="7" t="s">
        <v>1461</v>
      </c>
      <c r="E40" s="8">
        <v>32.9</v>
      </c>
      <c r="F40" s="8">
        <v>-44.8</v>
      </c>
      <c r="G40" s="8">
        <v>9.4</v>
      </c>
      <c r="H40" s="8">
        <v>48.9</v>
      </c>
      <c r="I40" s="8">
        <v>-126.4</v>
      </c>
      <c r="J40" s="8">
        <v>23</v>
      </c>
      <c r="K40" s="8">
        <v>16</v>
      </c>
      <c r="L40" s="8">
        <v>44.6</v>
      </c>
      <c r="M40" s="8" t="s">
        <v>1483</v>
      </c>
      <c r="N40" s="8" t="s">
        <v>1483</v>
      </c>
    </row>
    <row r="41" spans="1:14" x14ac:dyDescent="0.25">
      <c r="A41" s="6" t="s">
        <v>1538</v>
      </c>
      <c r="B41" s="7" t="s">
        <v>1470</v>
      </c>
      <c r="C41" s="7" t="s">
        <v>1469</v>
      </c>
      <c r="D41" s="7" t="s">
        <v>1460</v>
      </c>
      <c r="E41" s="8">
        <v>4.3</v>
      </c>
      <c r="F41" s="8">
        <v>4.5</v>
      </c>
      <c r="G41" s="8">
        <v>8.1</v>
      </c>
      <c r="H41" s="8">
        <v>-10.9</v>
      </c>
      <c r="I41" s="8">
        <v>-81.8</v>
      </c>
      <c r="J41" s="8">
        <v>-34</v>
      </c>
      <c r="K41" s="8">
        <v>-26.3</v>
      </c>
      <c r="L41" s="8">
        <v>3.2</v>
      </c>
      <c r="M41" s="8" t="s">
        <v>1483</v>
      </c>
      <c r="N41" s="8" t="s">
        <v>1483</v>
      </c>
    </row>
    <row r="42" spans="1:14" x14ac:dyDescent="0.25">
      <c r="A42" s="6" t="s">
        <v>1539</v>
      </c>
      <c r="B42" s="7" t="s">
        <v>1470</v>
      </c>
      <c r="C42" s="7" t="s">
        <v>1469</v>
      </c>
      <c r="D42" s="7" t="s">
        <v>1459</v>
      </c>
      <c r="E42" s="8">
        <v>-2.9</v>
      </c>
      <c r="F42" s="8">
        <v>-16.100000000000001</v>
      </c>
      <c r="G42" s="8">
        <v>-12.6</v>
      </c>
      <c r="H42" s="8">
        <v>19.3</v>
      </c>
      <c r="I42" s="8">
        <v>-25.4</v>
      </c>
      <c r="J42" s="8">
        <v>-14.6</v>
      </c>
      <c r="K42" s="8">
        <v>-6.9</v>
      </c>
      <c r="L42" s="8">
        <v>-9.4</v>
      </c>
      <c r="M42" s="8" t="s">
        <v>1483</v>
      </c>
      <c r="N42" s="8" t="s">
        <v>1483</v>
      </c>
    </row>
    <row r="43" spans="1:14" x14ac:dyDescent="0.25">
      <c r="A43" s="6"/>
      <c r="B43" s="7"/>
      <c r="C43" s="7"/>
      <c r="D43" s="7"/>
      <c r="E43" s="8"/>
      <c r="F43" s="8"/>
      <c r="G43" s="8"/>
      <c r="H43" s="8"/>
      <c r="I43" s="8"/>
      <c r="J43" s="8"/>
      <c r="K43" s="8"/>
      <c r="L43" s="8"/>
      <c r="M43" s="8"/>
      <c r="N43" s="8"/>
    </row>
    <row r="44" spans="1:14" x14ac:dyDescent="0.25">
      <c r="A44" s="6" t="s">
        <v>1540</v>
      </c>
      <c r="B44" s="7"/>
      <c r="C44" s="7"/>
      <c r="D44" s="7"/>
      <c r="E44" s="8"/>
      <c r="F44" s="8"/>
      <c r="G44" s="8"/>
      <c r="H44" s="8"/>
      <c r="I44" s="8"/>
      <c r="J44" s="8"/>
      <c r="K44" s="8"/>
      <c r="L44" s="8"/>
      <c r="M44" s="8"/>
      <c r="N44" s="8"/>
    </row>
    <row r="45" spans="1:14" x14ac:dyDescent="0.25">
      <c r="A45" s="6" t="s">
        <v>1541</v>
      </c>
      <c r="B45" s="7"/>
      <c r="C45" s="7"/>
      <c r="D45" s="7"/>
      <c r="E45" s="8"/>
      <c r="F45" s="8"/>
      <c r="G45" s="8"/>
      <c r="H45" s="8"/>
      <c r="I45" s="8"/>
      <c r="J45" s="8"/>
      <c r="K45" s="8"/>
      <c r="L45" s="8"/>
      <c r="M45" s="8"/>
      <c r="N45" s="8"/>
    </row>
    <row r="46" spans="1:14" x14ac:dyDescent="0.25">
      <c r="A46" s="6" t="s">
        <v>1518</v>
      </c>
      <c r="B46" s="7" t="s">
        <v>20</v>
      </c>
      <c r="C46" s="7" t="s">
        <v>21</v>
      </c>
      <c r="D46" s="7" t="s">
        <v>1468</v>
      </c>
      <c r="E46" s="8">
        <v>2286.6999999999998</v>
      </c>
      <c r="F46" s="8">
        <v>2766.1</v>
      </c>
      <c r="G46" s="8">
        <v>2899.1</v>
      </c>
      <c r="H46" s="8">
        <v>3508.5</v>
      </c>
      <c r="I46" s="8">
        <v>3634.3</v>
      </c>
      <c r="J46" s="8">
        <v>4077.4</v>
      </c>
      <c r="K46" s="8">
        <v>4458.2</v>
      </c>
      <c r="L46" s="8">
        <v>5038.3</v>
      </c>
      <c r="M46" s="8">
        <v>5587.1735274733282</v>
      </c>
      <c r="N46" s="8">
        <v>6211.0951934574869</v>
      </c>
    </row>
    <row r="47" spans="1:14" x14ac:dyDescent="0.25">
      <c r="A47" s="6" t="s">
        <v>1521</v>
      </c>
      <c r="B47" s="7" t="s">
        <v>20</v>
      </c>
      <c r="C47" s="7" t="s">
        <v>21</v>
      </c>
      <c r="D47" s="7" t="s">
        <v>1467</v>
      </c>
      <c r="E47" s="8">
        <v>2283.8000000000002</v>
      </c>
      <c r="F47" s="8">
        <v>2737.9</v>
      </c>
      <c r="G47" s="8">
        <v>2857.3</v>
      </c>
      <c r="H47" s="8">
        <v>3422.5</v>
      </c>
      <c r="I47" s="8">
        <v>3518.2</v>
      </c>
      <c r="J47" s="8">
        <v>3879.8</v>
      </c>
      <c r="K47" s="8">
        <v>4106.1000000000004</v>
      </c>
      <c r="L47" s="8">
        <v>4487.7</v>
      </c>
      <c r="M47" s="8">
        <v>4833.1668500986252</v>
      </c>
      <c r="N47" s="8">
        <v>5175.0950781210695</v>
      </c>
    </row>
    <row r="48" spans="1:14" x14ac:dyDescent="0.25">
      <c r="A48" s="6" t="s">
        <v>1522</v>
      </c>
      <c r="B48" s="7" t="s">
        <v>20</v>
      </c>
      <c r="C48" s="7" t="s">
        <v>21</v>
      </c>
      <c r="D48" s="7" t="s">
        <v>1466</v>
      </c>
      <c r="E48" s="8">
        <v>2.9</v>
      </c>
      <c r="F48" s="8">
        <v>28.2</v>
      </c>
      <c r="G48" s="8">
        <v>41.800000000000004</v>
      </c>
      <c r="H48" s="8">
        <v>86</v>
      </c>
      <c r="I48" s="8">
        <v>116.1</v>
      </c>
      <c r="J48" s="8">
        <v>197.6</v>
      </c>
      <c r="K48" s="8">
        <v>352.1</v>
      </c>
      <c r="L48" s="8">
        <v>550.6</v>
      </c>
      <c r="M48" s="8">
        <v>758.1605716021935</v>
      </c>
      <c r="N48" s="8">
        <v>1016.3783400543123</v>
      </c>
    </row>
    <row r="49" spans="1:14" x14ac:dyDescent="0.25">
      <c r="A49" s="6"/>
      <c r="B49" s="7"/>
      <c r="C49" s="7"/>
      <c r="D49" s="7"/>
      <c r="E49" s="8"/>
      <c r="F49" s="8"/>
      <c r="G49" s="8"/>
      <c r="H49" s="8"/>
      <c r="I49" s="8"/>
      <c r="J49" s="8"/>
      <c r="K49" s="8"/>
      <c r="L49" s="8"/>
      <c r="M49" s="8"/>
      <c r="N49" s="8"/>
    </row>
    <row r="50" spans="1:14" x14ac:dyDescent="0.25">
      <c r="A50" s="6" t="s">
        <v>1523</v>
      </c>
      <c r="B50" s="7"/>
      <c r="C50" s="7"/>
      <c r="D50" s="7"/>
      <c r="E50" s="8"/>
      <c r="F50" s="8"/>
      <c r="G50" s="8"/>
      <c r="H50" s="8"/>
      <c r="I50" s="8"/>
      <c r="J50" s="8"/>
      <c r="K50" s="8"/>
      <c r="L50" s="8"/>
      <c r="M50" s="8"/>
      <c r="N50" s="8"/>
    </row>
    <row r="51" spans="1:14" x14ac:dyDescent="0.25">
      <c r="A51" s="6" t="s">
        <v>1518</v>
      </c>
      <c r="B51" s="7" t="s">
        <v>20</v>
      </c>
      <c r="C51" s="7" t="s">
        <v>21</v>
      </c>
      <c r="D51" s="7" t="s">
        <v>1465</v>
      </c>
      <c r="E51" s="8">
        <v>761.6</v>
      </c>
      <c r="F51" s="8">
        <v>841.7</v>
      </c>
      <c r="G51" s="8">
        <v>761.80000000000007</v>
      </c>
      <c r="H51" s="8">
        <v>889.1</v>
      </c>
      <c r="I51" s="8">
        <v>893.1</v>
      </c>
      <c r="J51" s="8">
        <v>932.6</v>
      </c>
      <c r="K51" s="8">
        <v>981.3</v>
      </c>
      <c r="L51" s="8">
        <v>1029.3</v>
      </c>
      <c r="M51" s="8">
        <v>1079.068919759914</v>
      </c>
      <c r="N51" s="8">
        <v>1123.0593593834908</v>
      </c>
    </row>
    <row r="52" spans="1:14" x14ac:dyDescent="0.25">
      <c r="A52" s="6"/>
      <c r="B52" s="7"/>
      <c r="C52" s="7"/>
      <c r="D52" s="7"/>
      <c r="E52" s="8"/>
      <c r="F52" s="8"/>
      <c r="G52" s="8"/>
      <c r="H52" s="8"/>
      <c r="I52" s="8"/>
      <c r="J52" s="8"/>
      <c r="K52" s="8"/>
      <c r="L52" s="8"/>
      <c r="M52" s="8"/>
      <c r="N52" s="8"/>
    </row>
    <row r="53" spans="1:14" x14ac:dyDescent="0.25">
      <c r="A53" s="6" t="s">
        <v>1542</v>
      </c>
      <c r="B53" s="7"/>
      <c r="C53" s="7"/>
      <c r="D53" s="7"/>
      <c r="E53" s="8"/>
      <c r="F53" s="8"/>
      <c r="G53" s="8"/>
      <c r="H53" s="8"/>
      <c r="I53" s="8"/>
      <c r="J53" s="8"/>
      <c r="K53" s="8"/>
      <c r="L53" s="8"/>
      <c r="M53" s="8"/>
      <c r="N53" s="8"/>
    </row>
    <row r="54" spans="1:14" x14ac:dyDescent="0.25">
      <c r="A54" s="6" t="s">
        <v>1525</v>
      </c>
      <c r="B54" s="7"/>
      <c r="C54" s="7"/>
      <c r="D54" s="7"/>
      <c r="E54" s="8"/>
      <c r="F54" s="8"/>
      <c r="G54" s="8"/>
      <c r="H54" s="8"/>
      <c r="I54" s="8"/>
      <c r="J54" s="8"/>
      <c r="K54" s="8"/>
      <c r="L54" s="8"/>
      <c r="M54" s="8"/>
      <c r="N54" s="8"/>
    </row>
    <row r="55" spans="1:14" x14ac:dyDescent="0.25">
      <c r="A55" s="6" t="s">
        <v>1518</v>
      </c>
      <c r="B55" s="7" t="s">
        <v>20</v>
      </c>
      <c r="C55" s="7" t="s">
        <v>21</v>
      </c>
      <c r="D55" s="7" t="s">
        <v>1464</v>
      </c>
      <c r="E55" s="8">
        <v>674.5</v>
      </c>
      <c r="F55" s="8">
        <v>740.2</v>
      </c>
      <c r="G55" s="8">
        <v>725.4</v>
      </c>
      <c r="H55" s="8">
        <v>834.9</v>
      </c>
      <c r="I55" s="8">
        <v>855</v>
      </c>
      <c r="J55" s="8">
        <v>928.1</v>
      </c>
      <c r="K55" s="8" t="s">
        <v>1483</v>
      </c>
      <c r="L55" s="8" t="s">
        <v>1483</v>
      </c>
      <c r="M55" s="8">
        <v>281.89326240000003</v>
      </c>
      <c r="N55" s="8">
        <v>298.80685814400005</v>
      </c>
    </row>
    <row r="56" spans="1:14" x14ac:dyDescent="0.25">
      <c r="A56" s="6"/>
      <c r="B56" s="7"/>
      <c r="C56" s="7"/>
      <c r="D56" s="7"/>
      <c r="E56" s="8"/>
      <c r="F56" s="8"/>
      <c r="G56" s="8"/>
      <c r="H56" s="8"/>
      <c r="I56" s="8"/>
      <c r="J56" s="8"/>
      <c r="K56" s="8"/>
      <c r="L56" s="8"/>
      <c r="M56" s="8"/>
      <c r="N56" s="8"/>
    </row>
    <row r="57" spans="1:14" x14ac:dyDescent="0.25">
      <c r="A57" s="6" t="s">
        <v>1543</v>
      </c>
      <c r="B57" s="7"/>
      <c r="C57" s="7"/>
      <c r="D57" s="7"/>
      <c r="E57" s="8"/>
      <c r="F57" s="8"/>
      <c r="G57" s="8"/>
      <c r="H57" s="8"/>
      <c r="I57" s="8"/>
      <c r="J57" s="8"/>
      <c r="K57" s="8"/>
      <c r="L57" s="8"/>
      <c r="M57" s="8"/>
      <c r="N57" s="8"/>
    </row>
    <row r="58" spans="1:14" x14ac:dyDescent="0.25">
      <c r="A58" s="6" t="s">
        <v>1518</v>
      </c>
      <c r="B58" s="7" t="s">
        <v>12</v>
      </c>
      <c r="C58" s="7" t="s">
        <v>13</v>
      </c>
      <c r="D58" s="7"/>
      <c r="E58" s="8">
        <v>3813.3</v>
      </c>
      <c r="F58" s="8">
        <v>4348</v>
      </c>
      <c r="G58" s="8">
        <v>4386.3</v>
      </c>
      <c r="H58" s="8">
        <v>5232.5</v>
      </c>
      <c r="I58" s="8">
        <v>5382.4</v>
      </c>
      <c r="J58" s="8">
        <v>6004.8</v>
      </c>
      <c r="K58" s="8">
        <v>5439.5</v>
      </c>
      <c r="L58" s="8">
        <v>6067.6</v>
      </c>
      <c r="M58" s="8">
        <v>6677.1333333333332</v>
      </c>
      <c r="N58" s="8">
        <v>7328.2333333333327</v>
      </c>
    </row>
    <row r="59" spans="1:14" x14ac:dyDescent="0.25">
      <c r="A59" s="6" t="s">
        <v>1544</v>
      </c>
      <c r="B59" s="7" t="s">
        <v>20</v>
      </c>
      <c r="C59" s="7" t="s">
        <v>21</v>
      </c>
      <c r="D59" s="7" t="s">
        <v>1463</v>
      </c>
      <c r="E59" s="8">
        <v>2055.3000000000002</v>
      </c>
      <c r="F59" s="8">
        <v>2532.6999999999998</v>
      </c>
      <c r="G59" s="8">
        <v>2516.8000000000002</v>
      </c>
      <c r="H59" s="8">
        <v>2963.1</v>
      </c>
      <c r="I59" s="8">
        <v>3132.6</v>
      </c>
      <c r="J59" s="8">
        <v>2947.9</v>
      </c>
      <c r="K59" s="8">
        <v>3206</v>
      </c>
      <c r="L59" s="8">
        <v>3543.1</v>
      </c>
      <c r="M59" s="8">
        <v>3891.6968955326897</v>
      </c>
      <c r="N59" s="8">
        <v>4243.5978765705959</v>
      </c>
    </row>
    <row r="60" spans="1:14" x14ac:dyDescent="0.25">
      <c r="A60" s="6" t="s">
        <v>1536</v>
      </c>
      <c r="B60" s="7" t="s">
        <v>20</v>
      </c>
      <c r="C60" s="7" t="s">
        <v>21</v>
      </c>
      <c r="D60" s="7" t="s">
        <v>1462</v>
      </c>
      <c r="E60" s="8">
        <v>1667.5</v>
      </c>
      <c r="F60" s="8">
        <v>1815.3</v>
      </c>
      <c r="G60" s="8">
        <v>1869.5</v>
      </c>
      <c r="H60" s="8">
        <v>2269.4</v>
      </c>
      <c r="I60" s="8">
        <v>2249.8000000000002</v>
      </c>
      <c r="J60" s="8">
        <v>2062.1</v>
      </c>
      <c r="K60" s="8">
        <v>2233.5</v>
      </c>
      <c r="L60" s="8">
        <v>2524.5</v>
      </c>
      <c r="M60" s="8">
        <v>2777.9161109794136</v>
      </c>
      <c r="N60" s="8">
        <v>3058.2445777122093</v>
      </c>
    </row>
    <row r="61" spans="1:14" x14ac:dyDescent="0.25">
      <c r="A61" s="6" t="s">
        <v>1537</v>
      </c>
      <c r="B61" s="7" t="s">
        <v>20</v>
      </c>
      <c r="C61" s="7" t="s">
        <v>21</v>
      </c>
      <c r="D61" s="7" t="s">
        <v>1461</v>
      </c>
      <c r="E61" s="8">
        <v>885.1</v>
      </c>
      <c r="F61" s="8">
        <v>941.2</v>
      </c>
      <c r="G61" s="8">
        <v>973.6</v>
      </c>
      <c r="H61" s="8">
        <v>1190.3</v>
      </c>
      <c r="I61" s="8">
        <v>1174.8</v>
      </c>
      <c r="J61" s="8">
        <v>1180.2</v>
      </c>
      <c r="K61" s="8">
        <v>1321.7</v>
      </c>
      <c r="L61" s="8">
        <v>1517.5</v>
      </c>
      <c r="M61" s="8">
        <v>1579.3672590182455</v>
      </c>
      <c r="N61" s="8">
        <v>1695.7530102449534</v>
      </c>
    </row>
    <row r="62" spans="1:14" x14ac:dyDescent="0.25">
      <c r="A62" s="6" t="s">
        <v>1538</v>
      </c>
      <c r="B62" s="7" t="s">
        <v>20</v>
      </c>
      <c r="C62" s="7" t="s">
        <v>21</v>
      </c>
      <c r="D62" s="7" t="s">
        <v>1460</v>
      </c>
      <c r="E62" s="8">
        <v>396.8</v>
      </c>
      <c r="F62" s="8">
        <v>444.7</v>
      </c>
      <c r="G62" s="8">
        <v>460.1</v>
      </c>
      <c r="H62" s="8">
        <v>528.9</v>
      </c>
      <c r="I62" s="8">
        <v>473.6</v>
      </c>
      <c r="J62" s="8">
        <v>350.8</v>
      </c>
      <c r="K62" s="8">
        <v>339.8</v>
      </c>
      <c r="L62" s="8">
        <v>354.7</v>
      </c>
      <c r="M62" s="8">
        <v>433.30745814273303</v>
      </c>
      <c r="N62" s="8">
        <v>518.62250202435314</v>
      </c>
    </row>
    <row r="63" spans="1:14" x14ac:dyDescent="0.25">
      <c r="A63" s="6" t="s">
        <v>1545</v>
      </c>
      <c r="B63" s="7" t="s">
        <v>20</v>
      </c>
      <c r="C63" s="7" t="s">
        <v>21</v>
      </c>
      <c r="D63" s="7" t="s">
        <v>1459</v>
      </c>
      <c r="E63" s="8">
        <v>385.6</v>
      </c>
      <c r="F63" s="8">
        <v>429.4</v>
      </c>
      <c r="G63" s="8">
        <v>435.8</v>
      </c>
      <c r="H63" s="8">
        <v>550.20000000000005</v>
      </c>
      <c r="I63" s="8">
        <v>601.4</v>
      </c>
      <c r="J63" s="8">
        <v>531.1</v>
      </c>
      <c r="K63" s="8">
        <v>572</v>
      </c>
      <c r="L63" s="8">
        <v>652.29999999999995</v>
      </c>
      <c r="M63" s="8">
        <v>726.1407754568495</v>
      </c>
      <c r="N63" s="8">
        <v>811.44973246484903</v>
      </c>
    </row>
    <row r="64" spans="1:14" x14ac:dyDescent="0.25">
      <c r="A64" s="6"/>
      <c r="B64" s="7"/>
      <c r="C64" s="7"/>
      <c r="D64" s="7"/>
      <c r="E64" s="8"/>
      <c r="F64" s="8"/>
      <c r="G64" s="8"/>
      <c r="H64" s="8"/>
      <c r="I64" s="8"/>
      <c r="J64" s="8"/>
      <c r="K64" s="8"/>
      <c r="L64" s="8"/>
      <c r="M64" s="8"/>
      <c r="N64" s="8"/>
    </row>
    <row r="65" spans="1:14" x14ac:dyDescent="0.25">
      <c r="A65" s="6" t="s">
        <v>1546</v>
      </c>
      <c r="B65" s="7"/>
      <c r="C65" s="7"/>
      <c r="D65" s="7"/>
      <c r="E65" s="8"/>
      <c r="F65" s="8"/>
      <c r="G65" s="8"/>
      <c r="H65" s="8"/>
      <c r="I65" s="8"/>
      <c r="J65" s="8"/>
      <c r="K65" s="8"/>
      <c r="L65" s="8"/>
      <c r="M65" s="8"/>
      <c r="N65" s="8"/>
    </row>
    <row r="66" spans="1:14" x14ac:dyDescent="0.25">
      <c r="A66" s="6" t="s">
        <v>1547</v>
      </c>
      <c r="B66" s="7" t="s">
        <v>12</v>
      </c>
      <c r="C66" s="7" t="s">
        <v>13</v>
      </c>
      <c r="D66" s="7"/>
      <c r="E66" s="8">
        <v>3813.3</v>
      </c>
      <c r="F66" s="8">
        <v>4348</v>
      </c>
      <c r="G66" s="8">
        <v>4386.3</v>
      </c>
      <c r="H66" s="8">
        <v>5232.5</v>
      </c>
      <c r="I66" s="8">
        <v>5382.4</v>
      </c>
      <c r="J66" s="8">
        <v>6004.8</v>
      </c>
      <c r="K66" s="8">
        <v>5439.5</v>
      </c>
      <c r="L66" s="8">
        <v>6067.6</v>
      </c>
      <c r="M66" s="8">
        <v>6677.1333333333332</v>
      </c>
      <c r="N66" s="8">
        <v>7328.2333333333327</v>
      </c>
    </row>
    <row r="67" spans="1:14" x14ac:dyDescent="0.25">
      <c r="A67" s="6"/>
      <c r="B67" s="7"/>
      <c r="C67" s="7"/>
      <c r="D67" s="7"/>
      <c r="E67" s="8"/>
      <c r="F67" s="8"/>
      <c r="G67" s="8"/>
      <c r="H67" s="8"/>
      <c r="I67" s="8"/>
      <c r="J67" s="8"/>
      <c r="K67" s="8"/>
      <c r="L67" s="8"/>
      <c r="M67" s="8"/>
      <c r="N67" s="8"/>
    </row>
    <row r="68" spans="1:14" x14ac:dyDescent="0.25">
      <c r="A68" s="6" t="s">
        <v>1548</v>
      </c>
      <c r="B68" s="7" t="s">
        <v>207</v>
      </c>
      <c r="C68" s="7" t="s">
        <v>208</v>
      </c>
      <c r="D68" s="7"/>
      <c r="E68" s="8">
        <v>939.4</v>
      </c>
      <c r="F68" s="8">
        <v>1114.4000000000001</v>
      </c>
      <c r="G68" s="8">
        <v>1080.5999999999999</v>
      </c>
      <c r="H68" s="8">
        <v>1248.9000000000001</v>
      </c>
      <c r="I68" s="8">
        <v>1080.4000000000001</v>
      </c>
      <c r="J68" s="8">
        <v>978.4</v>
      </c>
      <c r="K68" s="8">
        <v>1117.5</v>
      </c>
      <c r="L68" s="8">
        <v>1334.2</v>
      </c>
      <c r="M68" s="8">
        <v>1439.192940731476</v>
      </c>
      <c r="N68" s="8">
        <v>1566.0595688606966</v>
      </c>
    </row>
    <row r="69" spans="1:14" x14ac:dyDescent="0.25">
      <c r="A69" s="6" t="s">
        <v>1549</v>
      </c>
      <c r="B69" s="7" t="s">
        <v>209</v>
      </c>
      <c r="C69" s="7" t="s">
        <v>210</v>
      </c>
      <c r="D69" s="7"/>
      <c r="E69" s="8">
        <v>25.233695068228219</v>
      </c>
      <c r="F69" s="8">
        <v>25.63017479300828</v>
      </c>
      <c r="G69" s="8">
        <v>24.635797825046165</v>
      </c>
      <c r="H69" s="8">
        <v>23.868131868131869</v>
      </c>
      <c r="I69" s="8">
        <v>20.072829964328182</v>
      </c>
      <c r="J69" s="8">
        <v>19.528942115768462</v>
      </c>
      <c r="K69" s="8">
        <v>20.544167662468976</v>
      </c>
      <c r="L69" s="8">
        <v>21.988924780802954</v>
      </c>
      <c r="M69" s="8">
        <v>21.587989507701643</v>
      </c>
      <c r="N69" s="8">
        <v>21.384244409533878</v>
      </c>
    </row>
    <row r="70" spans="1:14" x14ac:dyDescent="0.25">
      <c r="A70" s="6" t="s">
        <v>1550</v>
      </c>
      <c r="B70" s="7" t="s">
        <v>148</v>
      </c>
      <c r="C70" s="7" t="s">
        <v>149</v>
      </c>
      <c r="D70" s="7"/>
      <c r="E70" s="8">
        <v>2863.79</v>
      </c>
      <c r="F70" s="8">
        <v>3313.18</v>
      </c>
      <c r="G70" s="8">
        <v>3311.6565000000001</v>
      </c>
      <c r="H70" s="8">
        <v>3992.3975</v>
      </c>
      <c r="I70" s="8">
        <v>4311.3023999999996</v>
      </c>
      <c r="J70" s="8">
        <v>4033.05</v>
      </c>
      <c r="K70" s="8">
        <v>4324.4025000000001</v>
      </c>
      <c r="L70" s="8">
        <v>4738.7956000000004</v>
      </c>
      <c r="M70" s="8">
        <v>5233.3801548639694</v>
      </c>
      <c r="N70" s="8">
        <v>5754.5863809917701</v>
      </c>
    </row>
    <row r="71" spans="1:14" x14ac:dyDescent="0.25">
      <c r="A71" s="6" t="s">
        <v>1551</v>
      </c>
      <c r="B71" s="7" t="s">
        <v>1458</v>
      </c>
      <c r="C71" s="7" t="s">
        <v>1457</v>
      </c>
      <c r="D71" s="7"/>
      <c r="E71" s="8">
        <v>75.099999999999994</v>
      </c>
      <c r="F71" s="8">
        <v>76.2</v>
      </c>
      <c r="G71" s="8">
        <v>75.5</v>
      </c>
      <c r="H71" s="8">
        <v>76.3</v>
      </c>
      <c r="I71" s="8">
        <v>80.099999999999994</v>
      </c>
      <c r="J71" s="8">
        <v>80.5</v>
      </c>
      <c r="K71" s="8">
        <v>79.5</v>
      </c>
      <c r="L71" s="8">
        <v>78.099999999999994</v>
      </c>
      <c r="M71" s="8">
        <v>78.444264699867901</v>
      </c>
      <c r="N71" s="8">
        <v>78.621160258548173</v>
      </c>
    </row>
    <row r="72" spans="1:14" x14ac:dyDescent="0.25">
      <c r="A72" s="6"/>
      <c r="B72" s="7"/>
      <c r="C72" s="7"/>
      <c r="D72" s="7"/>
      <c r="E72" s="8"/>
      <c r="F72" s="8"/>
      <c r="G72" s="8"/>
      <c r="H72" s="8"/>
      <c r="I72" s="8"/>
      <c r="J72" s="8"/>
      <c r="K72" s="8"/>
      <c r="L72" s="8"/>
      <c r="M72" s="8"/>
      <c r="N72" s="8"/>
    </row>
    <row r="73" spans="1:14" x14ac:dyDescent="0.25">
      <c r="A73" s="6" t="s">
        <v>1552</v>
      </c>
      <c r="B73" s="7" t="s">
        <v>153</v>
      </c>
      <c r="C73" s="7" t="s">
        <v>154</v>
      </c>
      <c r="D73" s="7"/>
      <c r="E73" s="8">
        <v>1088.5</v>
      </c>
      <c r="F73" s="8">
        <v>1242.2</v>
      </c>
      <c r="G73" s="8">
        <v>1228.4000000000001</v>
      </c>
      <c r="H73" s="8">
        <v>1493.7</v>
      </c>
      <c r="I73" s="8">
        <v>1567.6</v>
      </c>
      <c r="J73" s="8">
        <v>1582.5</v>
      </c>
      <c r="K73" s="8">
        <v>1789.2</v>
      </c>
      <c r="L73" s="8">
        <v>2085.1999999999998</v>
      </c>
      <c r="M73" s="8">
        <v>2187.1603570081015</v>
      </c>
      <c r="N73" s="8">
        <v>2366.5959785355867</v>
      </c>
    </row>
    <row r="74" spans="1:14" x14ac:dyDescent="0.25">
      <c r="A74" s="6" t="s">
        <v>1549</v>
      </c>
      <c r="B74" s="7" t="s">
        <v>223</v>
      </c>
      <c r="C74" s="7" t="s">
        <v>224</v>
      </c>
      <c r="D74" s="7"/>
      <c r="E74" s="8">
        <v>29.238745030622113</v>
      </c>
      <c r="F74" s="8">
        <v>28.569457221711133</v>
      </c>
      <c r="G74" s="8">
        <v>28.005380388938285</v>
      </c>
      <c r="H74" s="8">
        <v>28.546583850931675</v>
      </c>
      <c r="I74" s="8">
        <v>29.124554102259214</v>
      </c>
      <c r="J74" s="8">
        <v>31.58682634730539</v>
      </c>
      <c r="K74" s="8">
        <v>32.892729111131537</v>
      </c>
      <c r="L74" s="8">
        <v>34.366141472740452</v>
      </c>
      <c r="M74" s="8">
        <v>32.75265090024147</v>
      </c>
      <c r="N74" s="8">
        <v>32.293092714732246</v>
      </c>
    </row>
    <row r="75" spans="1:14" x14ac:dyDescent="0.25">
      <c r="A75" s="6" t="s">
        <v>1553</v>
      </c>
      <c r="B75" s="7" t="s">
        <v>159</v>
      </c>
      <c r="C75" s="7" t="s">
        <v>160</v>
      </c>
      <c r="D75" s="7"/>
      <c r="E75" s="8">
        <v>624.37549999999999</v>
      </c>
      <c r="F75" s="8">
        <v>752.7</v>
      </c>
      <c r="G75" s="8">
        <v>760.7</v>
      </c>
      <c r="H75" s="8">
        <v>903.1</v>
      </c>
      <c r="I75" s="8">
        <v>945.2</v>
      </c>
      <c r="J75" s="8">
        <v>962.9</v>
      </c>
      <c r="K75" s="8">
        <v>1053</v>
      </c>
      <c r="L75" s="8">
        <v>1079.2</v>
      </c>
      <c r="M75" s="8">
        <v>1144.198487467454</v>
      </c>
      <c r="N75" s="8">
        <v>1245.1911449649228</v>
      </c>
    </row>
    <row r="76" spans="1:14" x14ac:dyDescent="0.25">
      <c r="A76" s="6" t="s">
        <v>1549</v>
      </c>
      <c r="B76" s="7" t="s">
        <v>601</v>
      </c>
      <c r="C76" s="7" t="s">
        <v>600</v>
      </c>
      <c r="D76" s="7"/>
      <c r="E76" s="8">
        <v>16.713226603631675</v>
      </c>
      <c r="F76" s="8">
        <v>17.311407543698252</v>
      </c>
      <c r="G76" s="8">
        <v>17.342635022684266</v>
      </c>
      <c r="H76" s="8">
        <v>17.259436215957955</v>
      </c>
      <c r="I76" s="8">
        <v>17.560939357907255</v>
      </c>
      <c r="J76" s="8">
        <v>19.219560878243513</v>
      </c>
      <c r="K76" s="8">
        <v>19.358396911480835</v>
      </c>
      <c r="L76" s="8">
        <v>17.786274639066519</v>
      </c>
      <c r="M76" s="8">
        <v>17.158520666693125</v>
      </c>
      <c r="N76" s="8">
        <v>17.033272935826247</v>
      </c>
    </row>
    <row r="77" spans="1:14" x14ac:dyDescent="0.25">
      <c r="A77" s="6" t="s">
        <v>1554</v>
      </c>
      <c r="B77" s="7" t="s">
        <v>1335</v>
      </c>
      <c r="C77" s="7" t="s">
        <v>1334</v>
      </c>
      <c r="D77" s="7"/>
      <c r="E77" s="8">
        <v>-5.7</v>
      </c>
      <c r="F77" s="8">
        <v>-6.1</v>
      </c>
      <c r="G77" s="8">
        <v>13.6</v>
      </c>
      <c r="H77" s="8">
        <v>-124.1</v>
      </c>
      <c r="I77" s="8">
        <v>-35.799999999999997</v>
      </c>
      <c r="J77" s="8">
        <v>-26.2</v>
      </c>
      <c r="K77" s="8">
        <v>0</v>
      </c>
      <c r="L77" s="8">
        <v>-12.5</v>
      </c>
      <c r="M77" s="8">
        <v>0</v>
      </c>
      <c r="N77" s="8">
        <v>0</v>
      </c>
    </row>
    <row r="78" spans="1:14" x14ac:dyDescent="0.25">
      <c r="A78" s="6"/>
      <c r="B78" s="7"/>
      <c r="C78" s="7"/>
      <c r="D78" s="7"/>
      <c r="E78" s="8"/>
      <c r="F78" s="8"/>
      <c r="G78" s="8"/>
      <c r="H78" s="8"/>
      <c r="I78" s="8"/>
      <c r="J78" s="8"/>
      <c r="K78" s="8"/>
      <c r="L78" s="8"/>
      <c r="M78" s="8"/>
      <c r="N78" s="8"/>
    </row>
    <row r="79" spans="1:14" x14ac:dyDescent="0.25">
      <c r="A79" s="6" t="s">
        <v>1555</v>
      </c>
      <c r="B79" s="7" t="s">
        <v>164</v>
      </c>
      <c r="C79" s="7" t="s">
        <v>165</v>
      </c>
      <c r="D79" s="7"/>
      <c r="E79" s="8">
        <v>1153.7</v>
      </c>
      <c r="F79" s="8">
        <v>1316.4</v>
      </c>
      <c r="G79" s="8">
        <v>1322</v>
      </c>
      <c r="H79" s="8">
        <v>1594.5</v>
      </c>
      <c r="I79" s="8">
        <v>1796.5</v>
      </c>
      <c r="J79" s="8">
        <v>1733.8</v>
      </c>
      <c r="K79" s="8">
        <v>1514.5</v>
      </c>
      <c r="L79" s="8">
        <v>1643.5</v>
      </c>
      <c r="M79" s="8">
        <v>1915.7241379310346</v>
      </c>
      <c r="N79" s="8">
        <v>2152.5333333333333</v>
      </c>
    </row>
    <row r="80" spans="1:14" x14ac:dyDescent="0.25">
      <c r="A80" s="6" t="s">
        <v>1556</v>
      </c>
      <c r="B80" s="7" t="s">
        <v>626</v>
      </c>
      <c r="C80" s="7" t="s">
        <v>625</v>
      </c>
      <c r="D80" s="7"/>
      <c r="E80" s="8">
        <v>30.990114967228966</v>
      </c>
      <c r="F80" s="8">
        <v>30.27598896044158</v>
      </c>
      <c r="G80" s="8">
        <v>30.139297357681873</v>
      </c>
      <c r="H80" s="8">
        <v>30.473005255613948</v>
      </c>
      <c r="I80" s="8">
        <v>33.377303804994057</v>
      </c>
      <c r="J80" s="8">
        <v>29.69261477045908</v>
      </c>
      <c r="K80" s="8">
        <v>27.842632594907617</v>
      </c>
      <c r="L80" s="8">
        <v>27.086492188015033</v>
      </c>
      <c r="M80" s="8">
        <v>28.756032708344243</v>
      </c>
      <c r="N80" s="8">
        <v>29.283616502926925</v>
      </c>
    </row>
    <row r="81" spans="1:14" x14ac:dyDescent="0.25">
      <c r="A81" s="6"/>
      <c r="B81" s="7"/>
      <c r="C81" s="7"/>
      <c r="D81" s="7"/>
      <c r="E81" s="8"/>
      <c r="F81" s="8"/>
      <c r="G81" s="8"/>
      <c r="H81" s="8"/>
      <c r="I81" s="8"/>
      <c r="J81" s="8"/>
      <c r="K81" s="8"/>
      <c r="L81" s="8"/>
      <c r="M81" s="8"/>
      <c r="N81" s="8"/>
    </row>
    <row r="82" spans="1:14" x14ac:dyDescent="0.25">
      <c r="A82" s="6" t="s">
        <v>1557</v>
      </c>
      <c r="B82" s="7" t="s">
        <v>168</v>
      </c>
      <c r="C82" s="7" t="s">
        <v>169</v>
      </c>
      <c r="D82" s="7"/>
      <c r="E82" s="8">
        <v>77.400000000000006</v>
      </c>
      <c r="F82" s="8">
        <v>89.3</v>
      </c>
      <c r="G82" s="8">
        <v>107.2</v>
      </c>
      <c r="H82" s="8">
        <v>134.80000000000001</v>
      </c>
      <c r="I82" s="8">
        <v>139.6</v>
      </c>
      <c r="J82" s="8">
        <v>144.9</v>
      </c>
      <c r="K82" s="8">
        <v>155.19999999999999</v>
      </c>
      <c r="L82" s="8">
        <v>156.6</v>
      </c>
      <c r="M82" s="8">
        <v>175.74435036133565</v>
      </c>
      <c r="N82" s="8">
        <v>187.77777422334924</v>
      </c>
    </row>
    <row r="83" spans="1:14" x14ac:dyDescent="0.25">
      <c r="A83" s="6" t="s">
        <v>1135</v>
      </c>
      <c r="B83" s="7" t="s">
        <v>177</v>
      </c>
      <c r="C83" s="7" t="s">
        <v>178</v>
      </c>
      <c r="D83" s="7"/>
      <c r="E83" s="8">
        <v>1156.2</v>
      </c>
      <c r="F83" s="8">
        <v>1321</v>
      </c>
      <c r="G83" s="8">
        <v>1429.2</v>
      </c>
      <c r="H83" s="8">
        <v>1729.3</v>
      </c>
      <c r="I83" s="8">
        <v>1936.1</v>
      </c>
      <c r="J83" s="8">
        <v>1878.7</v>
      </c>
      <c r="K83" s="8">
        <v>1669.7</v>
      </c>
      <c r="L83" s="8">
        <v>1800.1</v>
      </c>
      <c r="M83" s="8">
        <v>2089</v>
      </c>
      <c r="N83" s="8">
        <v>2331</v>
      </c>
    </row>
    <row r="84" spans="1:14" x14ac:dyDescent="0.25">
      <c r="A84" s="6" t="s">
        <v>1558</v>
      </c>
      <c r="B84" s="7" t="s">
        <v>180</v>
      </c>
      <c r="C84" s="7" t="s">
        <v>181</v>
      </c>
      <c r="D84" s="7"/>
      <c r="E84" s="8">
        <v>22.176856129794778</v>
      </c>
      <c r="F84" s="8">
        <v>29.070837166513343</v>
      </c>
      <c r="G84" s="8">
        <v>23.603036727993988</v>
      </c>
      <c r="H84" s="8">
        <v>35.489727663640707</v>
      </c>
      <c r="I84" s="8">
        <v>35.601218787158139</v>
      </c>
      <c r="J84" s="8">
        <v>29.554890219560882</v>
      </c>
      <c r="K84" s="8">
        <v>28.715874620829119</v>
      </c>
      <c r="L84" s="8">
        <v>23.899070472674534</v>
      </c>
      <c r="M84" s="8">
        <v>30.989612579790659</v>
      </c>
      <c r="N84" s="8">
        <v>31.470162468282922</v>
      </c>
    </row>
    <row r="85" spans="1:14" x14ac:dyDescent="0.25">
      <c r="A85" s="6"/>
      <c r="B85" s="7"/>
      <c r="C85" s="7"/>
      <c r="D85" s="7"/>
      <c r="E85" s="8"/>
      <c r="F85" s="8"/>
      <c r="G85" s="8"/>
      <c r="H85" s="8"/>
      <c r="I85" s="8"/>
      <c r="J85" s="8"/>
      <c r="K85" s="8"/>
      <c r="L85" s="8"/>
      <c r="M85" s="8"/>
      <c r="N85" s="8"/>
    </row>
    <row r="86" spans="1:14" x14ac:dyDescent="0.25">
      <c r="A86" s="6" t="s">
        <v>1559</v>
      </c>
      <c r="B86" s="7" t="s">
        <v>621</v>
      </c>
      <c r="C86" s="7" t="s">
        <v>620</v>
      </c>
      <c r="D86" s="7"/>
      <c r="E86" s="8">
        <v>-2.1</v>
      </c>
      <c r="F86" s="8">
        <v>-11.5</v>
      </c>
      <c r="G86" s="8">
        <v>-7.6</v>
      </c>
      <c r="H86" s="8">
        <v>1</v>
      </c>
      <c r="I86" s="8">
        <v>-16.3</v>
      </c>
      <c r="J86" s="8">
        <v>-49.6</v>
      </c>
      <c r="K86" s="8">
        <v>-100.5</v>
      </c>
      <c r="L86" s="8">
        <v>-148.4</v>
      </c>
      <c r="M86" s="8">
        <v>-135.61664302655916</v>
      </c>
      <c r="N86" s="8">
        <v>-136.95963313717252</v>
      </c>
    </row>
    <row r="87" spans="1:14" x14ac:dyDescent="0.25">
      <c r="A87" s="6" t="s">
        <v>1560</v>
      </c>
      <c r="B87" s="7" t="s">
        <v>1456</v>
      </c>
      <c r="C87" s="7" t="s">
        <v>1455</v>
      </c>
      <c r="D87" s="7"/>
      <c r="E87" s="8">
        <v>29.9</v>
      </c>
      <c r="F87" s="8">
        <v>20.7</v>
      </c>
      <c r="G87" s="8">
        <v>15.8</v>
      </c>
      <c r="H87" s="8">
        <v>18.399999999999999</v>
      </c>
      <c r="I87" s="8">
        <v>19.2</v>
      </c>
      <c r="J87" s="8">
        <v>17.600000000000001</v>
      </c>
      <c r="K87" s="8">
        <v>19.8</v>
      </c>
      <c r="L87" s="8">
        <v>20.399999999999999</v>
      </c>
      <c r="M87" s="8">
        <v>11.573953886986342</v>
      </c>
      <c r="N87" s="8">
        <v>16.472999999999999</v>
      </c>
    </row>
    <row r="88" spans="1:14" x14ac:dyDescent="0.25">
      <c r="A88" s="6" t="s">
        <v>1561</v>
      </c>
      <c r="B88" s="7" t="s">
        <v>1324</v>
      </c>
      <c r="C88" s="7" t="s">
        <v>1323</v>
      </c>
      <c r="D88" s="7"/>
      <c r="E88" s="8">
        <v>-4</v>
      </c>
      <c r="F88" s="8">
        <v>-8.1999999999999993</v>
      </c>
      <c r="G88" s="8">
        <v>-11.5</v>
      </c>
      <c r="H88" s="8">
        <v>-12.7</v>
      </c>
      <c r="I88" s="8">
        <v>-2.6</v>
      </c>
      <c r="J88" s="8">
        <v>-13.9</v>
      </c>
      <c r="K88" s="8">
        <v>-68.900000000000006</v>
      </c>
      <c r="L88" s="8">
        <v>-7.2</v>
      </c>
      <c r="M88" s="8">
        <v>-9.4857142857142858</v>
      </c>
      <c r="N88" s="8">
        <v>-6.4461538461538463</v>
      </c>
    </row>
    <row r="89" spans="1:14" x14ac:dyDescent="0.25">
      <c r="A89" s="6" t="s">
        <v>1562</v>
      </c>
      <c r="B89" s="7" t="s">
        <v>183</v>
      </c>
      <c r="C89" s="7" t="s">
        <v>184</v>
      </c>
      <c r="D89" s="7"/>
      <c r="E89" s="8">
        <v>1159.8</v>
      </c>
      <c r="F89" s="8">
        <v>1336.1</v>
      </c>
      <c r="G89" s="8">
        <v>1341.1</v>
      </c>
      <c r="H89" s="8">
        <v>1606.2</v>
      </c>
      <c r="I89" s="8">
        <v>1815.4</v>
      </c>
      <c r="J89" s="8">
        <v>1726.6</v>
      </c>
      <c r="K89" s="8">
        <v>1683.9</v>
      </c>
      <c r="L89" s="8">
        <v>1799.1</v>
      </c>
      <c r="M89" s="8">
        <v>2065.1785714285716</v>
      </c>
      <c r="N89" s="8">
        <v>2295.1034482758623</v>
      </c>
    </row>
    <row r="90" spans="1:14" x14ac:dyDescent="0.25">
      <c r="A90" s="6" t="s">
        <v>1563</v>
      </c>
      <c r="B90" s="7" t="s">
        <v>1128</v>
      </c>
      <c r="C90" s="7" t="s">
        <v>1127</v>
      </c>
      <c r="D90" s="7"/>
      <c r="E90" s="8">
        <v>20.45234769528312</v>
      </c>
      <c r="F90" s="8">
        <v>26.828426862925483</v>
      </c>
      <c r="G90" s="8">
        <v>20.899163303923579</v>
      </c>
      <c r="H90" s="8">
        <v>32.527472527472526</v>
      </c>
      <c r="I90" s="8">
        <v>32.836652794292512</v>
      </c>
      <c r="J90" s="8">
        <v>27.393213572854293</v>
      </c>
      <c r="K90" s="8">
        <v>28.460336427980511</v>
      </c>
      <c r="L90" s="8">
        <v>20.97864064869141</v>
      </c>
      <c r="M90" s="8">
        <v>30.371418225478486</v>
      </c>
      <c r="N90" s="8">
        <v>30.869477809461394</v>
      </c>
    </row>
    <row r="91" spans="1:14" x14ac:dyDescent="0.25">
      <c r="A91" s="6"/>
      <c r="B91" s="7"/>
      <c r="C91" s="7"/>
      <c r="D91" s="7"/>
      <c r="E91" s="8"/>
      <c r="F91" s="8"/>
      <c r="G91" s="8"/>
      <c r="H91" s="8"/>
      <c r="I91" s="8"/>
      <c r="J91" s="8"/>
      <c r="K91" s="8"/>
      <c r="L91" s="8"/>
      <c r="M91" s="8"/>
      <c r="N91" s="8"/>
    </row>
    <row r="92" spans="1:14" x14ac:dyDescent="0.25">
      <c r="A92" s="6" t="s">
        <v>1564</v>
      </c>
      <c r="B92" s="7" t="s">
        <v>1454</v>
      </c>
      <c r="C92" s="7" t="s">
        <v>1453</v>
      </c>
      <c r="D92" s="7"/>
      <c r="E92" s="8">
        <v>39.200000000000003</v>
      </c>
      <c r="F92" s="8">
        <v>119.6</v>
      </c>
      <c r="G92" s="8">
        <v>93.3</v>
      </c>
      <c r="H92" s="8">
        <v>198.9</v>
      </c>
      <c r="I92" s="8">
        <v>245.5</v>
      </c>
      <c r="J92" s="8">
        <v>152.4</v>
      </c>
      <c r="K92" s="8">
        <v>152.1</v>
      </c>
      <c r="L92" s="8">
        <v>216.9</v>
      </c>
      <c r="M92" s="8">
        <v>356.45993073260684</v>
      </c>
      <c r="N92" s="8">
        <v>396.52047970861133</v>
      </c>
    </row>
    <row r="93" spans="1:14" x14ac:dyDescent="0.25">
      <c r="A93" s="6" t="s">
        <v>1565</v>
      </c>
      <c r="B93" s="7" t="s">
        <v>189</v>
      </c>
      <c r="C93" s="7" t="s">
        <v>190</v>
      </c>
      <c r="D93" s="7"/>
      <c r="E93" s="8">
        <v>13.4</v>
      </c>
      <c r="F93" s="8">
        <v>11.5</v>
      </c>
      <c r="G93" s="8">
        <v>12.5</v>
      </c>
      <c r="H93" s="8">
        <v>13.9</v>
      </c>
      <c r="I93" s="8">
        <v>14.6</v>
      </c>
      <c r="J93" s="8">
        <v>12.9</v>
      </c>
      <c r="K93" s="8">
        <v>11</v>
      </c>
      <c r="L93" s="8">
        <v>17</v>
      </c>
      <c r="M93" s="8">
        <v>16.888171141658265</v>
      </c>
      <c r="N93" s="8">
        <v>16.821330205293346</v>
      </c>
    </row>
    <row r="94" spans="1:14" x14ac:dyDescent="0.25">
      <c r="A94" s="6" t="s">
        <v>1566</v>
      </c>
      <c r="B94" s="7" t="s">
        <v>1452</v>
      </c>
      <c r="C94" s="7" t="s">
        <v>1451</v>
      </c>
      <c r="D94" s="7"/>
      <c r="E94" s="8">
        <v>0</v>
      </c>
      <c r="F94" s="8">
        <v>0</v>
      </c>
      <c r="G94" s="8">
        <v>0</v>
      </c>
      <c r="H94" s="8">
        <v>0</v>
      </c>
      <c r="I94" s="8">
        <v>0</v>
      </c>
      <c r="J94" s="8">
        <v>-3</v>
      </c>
      <c r="K94" s="8">
        <v>-4.9000000000000004</v>
      </c>
      <c r="L94" s="8">
        <v>-4.0999999999999996</v>
      </c>
      <c r="M94" s="8">
        <v>-5.2640000000000002</v>
      </c>
      <c r="N94" s="8">
        <v>-4.8708</v>
      </c>
    </row>
    <row r="95" spans="1:14" x14ac:dyDescent="0.25">
      <c r="A95" s="6"/>
      <c r="B95" s="7"/>
      <c r="C95" s="7"/>
      <c r="D95" s="7"/>
      <c r="E95" s="8"/>
      <c r="F95" s="8"/>
      <c r="G95" s="8"/>
      <c r="H95" s="8"/>
      <c r="I95" s="8"/>
      <c r="J95" s="8"/>
      <c r="K95" s="8"/>
      <c r="L95" s="8"/>
      <c r="M95" s="8"/>
      <c r="N95" s="8"/>
    </row>
    <row r="96" spans="1:14" x14ac:dyDescent="0.25">
      <c r="A96" s="6" t="s">
        <v>1567</v>
      </c>
      <c r="B96" s="7" t="s">
        <v>53</v>
      </c>
      <c r="C96" s="7" t="s">
        <v>54</v>
      </c>
      <c r="D96" s="7"/>
      <c r="E96" s="8">
        <v>1004.3</v>
      </c>
      <c r="F96" s="8">
        <v>1182.9000000000001</v>
      </c>
      <c r="G96" s="8">
        <v>1173.9000000000001</v>
      </c>
      <c r="H96" s="8">
        <v>1403.9</v>
      </c>
      <c r="I96" s="8">
        <v>1550.6</v>
      </c>
      <c r="J96" s="8">
        <v>1530.9</v>
      </c>
      <c r="K96" s="8">
        <v>1455.2</v>
      </c>
      <c r="L96" s="8">
        <v>1498.2</v>
      </c>
      <c r="M96" s="8">
        <v>1725.5925925925924</v>
      </c>
      <c r="N96" s="8">
        <v>1922.6785714285716</v>
      </c>
    </row>
    <row r="97" spans="1:14" x14ac:dyDescent="0.25">
      <c r="A97" s="6" t="s">
        <v>1568</v>
      </c>
      <c r="B97" s="7" t="s">
        <v>193</v>
      </c>
      <c r="C97" s="7" t="s">
        <v>194</v>
      </c>
      <c r="D97" s="7"/>
      <c r="E97" s="8">
        <v>26.977006554206511</v>
      </c>
      <c r="F97" s="8">
        <v>27.205611775528975</v>
      </c>
      <c r="G97" s="8">
        <v>26.762875316325836</v>
      </c>
      <c r="H97" s="8">
        <v>26.83038700430005</v>
      </c>
      <c r="I97" s="8">
        <v>28.80870986920333</v>
      </c>
      <c r="J97" s="8">
        <v>27.035928143712574</v>
      </c>
      <c r="K97" s="8">
        <v>26.752458865704572</v>
      </c>
      <c r="L97" s="8">
        <v>24.69180565627266</v>
      </c>
      <c r="M97" s="8">
        <v>25.558896549437989</v>
      </c>
      <c r="N97" s="8">
        <v>25.851793111480919</v>
      </c>
    </row>
    <row r="98" spans="1:14" x14ac:dyDescent="0.25">
      <c r="A98" s="6"/>
      <c r="B98" s="7"/>
      <c r="C98" s="7"/>
      <c r="D98" s="7"/>
      <c r="E98" s="8"/>
      <c r="F98" s="8"/>
      <c r="G98" s="8"/>
      <c r="H98" s="8"/>
      <c r="I98" s="8"/>
      <c r="J98" s="8"/>
      <c r="K98" s="8"/>
      <c r="L98" s="8"/>
      <c r="M98" s="8"/>
      <c r="N98" s="8"/>
    </row>
    <row r="99" spans="1:14" x14ac:dyDescent="0.25">
      <c r="A99" s="6" t="s">
        <v>1569</v>
      </c>
      <c r="B99" s="7" t="s">
        <v>196</v>
      </c>
      <c r="C99" s="7" t="s">
        <v>197</v>
      </c>
      <c r="D99" s="7"/>
      <c r="E99" s="8">
        <v>627.6</v>
      </c>
      <c r="F99" s="8">
        <v>1874.4</v>
      </c>
      <c r="G99" s="8">
        <v>622.6</v>
      </c>
      <c r="H99" s="8">
        <v>623.29999999999995</v>
      </c>
      <c r="I99" s="8">
        <v>619</v>
      </c>
      <c r="J99" s="8">
        <v>606.70000000000005</v>
      </c>
      <c r="K99" s="8">
        <v>597.70000000000005</v>
      </c>
      <c r="L99" s="8">
        <v>584.79999999999995</v>
      </c>
      <c r="M99" s="8">
        <v>577.87484592882208</v>
      </c>
      <c r="N99" s="8">
        <v>572.4361331537682</v>
      </c>
    </row>
    <row r="100" spans="1:14" x14ac:dyDescent="0.25">
      <c r="A100" s="6"/>
      <c r="B100" s="7"/>
      <c r="C100" s="7"/>
      <c r="D100" s="7"/>
      <c r="E100" s="8"/>
      <c r="F100" s="8"/>
      <c r="G100" s="8"/>
      <c r="H100" s="8"/>
      <c r="I100" s="8"/>
      <c r="J100" s="8"/>
      <c r="K100" s="8"/>
      <c r="L100" s="8"/>
      <c r="M100" s="8"/>
      <c r="N100" s="8"/>
    </row>
    <row r="101" spans="1:14" x14ac:dyDescent="0.25">
      <c r="A101" s="6" t="s">
        <v>1570</v>
      </c>
      <c r="B101" s="7" t="s">
        <v>606</v>
      </c>
      <c r="C101" s="7" t="s">
        <v>605</v>
      </c>
      <c r="D101" s="7"/>
      <c r="E101" s="8">
        <v>640.79999999999995</v>
      </c>
      <c r="F101" s="8">
        <v>1910.1</v>
      </c>
      <c r="G101" s="8">
        <v>631.9</v>
      </c>
      <c r="H101" s="8">
        <v>631.20000000000005</v>
      </c>
      <c r="I101" s="8">
        <v>624.20000000000005</v>
      </c>
      <c r="J101" s="8">
        <v>609.4</v>
      </c>
      <c r="K101" s="8">
        <v>599.29999999999995</v>
      </c>
      <c r="L101" s="8">
        <v>585.79999999999995</v>
      </c>
      <c r="M101" s="8">
        <v>581.00283148972176</v>
      </c>
      <c r="N101" s="8">
        <v>576.67562324755465</v>
      </c>
    </row>
    <row r="102" spans="1:14" x14ac:dyDescent="0.25">
      <c r="A102" s="6" t="s">
        <v>1571</v>
      </c>
      <c r="B102" s="7" t="s">
        <v>9</v>
      </c>
      <c r="C102" s="7" t="s">
        <v>10</v>
      </c>
      <c r="D102" s="7"/>
      <c r="E102" s="8">
        <v>1.5666666666666667</v>
      </c>
      <c r="F102" s="8">
        <v>1.8566666666666667</v>
      </c>
      <c r="G102" s="8">
        <v>1.86</v>
      </c>
      <c r="H102" s="8">
        <v>2.2200000000000002</v>
      </c>
      <c r="I102" s="8">
        <v>2.48</v>
      </c>
      <c r="J102" s="8">
        <v>2.5099999999999998</v>
      </c>
      <c r="K102" s="8">
        <v>2.4300000000000002</v>
      </c>
      <c r="L102" s="8">
        <v>2.56</v>
      </c>
      <c r="M102" s="8">
        <v>2.9620000000000002</v>
      </c>
      <c r="N102" s="8">
        <v>3.3203448275862071</v>
      </c>
    </row>
    <row r="103" spans="1:14" x14ac:dyDescent="0.25">
      <c r="A103" s="6"/>
      <c r="B103" s="7"/>
      <c r="C103" s="7"/>
      <c r="D103" s="7"/>
      <c r="E103" s="8"/>
      <c r="F103" s="8"/>
      <c r="G103" s="8"/>
      <c r="H103" s="8"/>
      <c r="I103" s="8"/>
      <c r="J103" s="8"/>
      <c r="K103" s="8"/>
      <c r="L103" s="8"/>
      <c r="M103" s="8"/>
      <c r="N103" s="8"/>
    </row>
    <row r="104" spans="1:14" x14ac:dyDescent="0.25">
      <c r="A104" s="6" t="s">
        <v>1572</v>
      </c>
      <c r="B104" s="7" t="s">
        <v>1450</v>
      </c>
      <c r="C104" s="7" t="s">
        <v>1449</v>
      </c>
      <c r="D104" s="7"/>
      <c r="E104" s="8">
        <v>0</v>
      </c>
      <c r="F104" s="8">
        <v>0</v>
      </c>
      <c r="G104" s="8">
        <v>0</v>
      </c>
      <c r="H104" s="8">
        <v>0</v>
      </c>
      <c r="I104" s="8">
        <v>0</v>
      </c>
      <c r="J104" s="8">
        <v>0</v>
      </c>
      <c r="K104" s="8">
        <v>0</v>
      </c>
      <c r="L104" s="8">
        <v>0</v>
      </c>
      <c r="M104" s="8" t="s">
        <v>1483</v>
      </c>
      <c r="N104" s="8" t="s">
        <v>1483</v>
      </c>
    </row>
    <row r="105" spans="1:14" x14ac:dyDescent="0.25">
      <c r="A105" s="6"/>
      <c r="B105" s="7"/>
      <c r="C105" s="7"/>
      <c r="D105" s="7"/>
      <c r="E105" s="8"/>
      <c r="F105" s="8"/>
      <c r="G105" s="8"/>
      <c r="H105" s="8"/>
      <c r="I105" s="8"/>
      <c r="J105" s="8"/>
      <c r="K105" s="8"/>
      <c r="L105" s="8"/>
      <c r="M105" s="8"/>
      <c r="N105" s="8"/>
    </row>
    <row r="106" spans="1:14" x14ac:dyDescent="0.25">
      <c r="A106" s="6" t="s">
        <v>1573</v>
      </c>
      <c r="B106" s="7"/>
      <c r="C106" s="7"/>
      <c r="D106" s="7"/>
      <c r="E106" s="8"/>
      <c r="F106" s="8"/>
      <c r="G106" s="8"/>
      <c r="H106" s="8"/>
      <c r="I106" s="8"/>
      <c r="J106" s="8"/>
      <c r="K106" s="8"/>
      <c r="L106" s="8"/>
      <c r="M106" s="8"/>
      <c r="N106" s="8"/>
    </row>
    <row r="107" spans="1:14" x14ac:dyDescent="0.25">
      <c r="A107" s="6" t="s">
        <v>1547</v>
      </c>
      <c r="B107" s="7" t="s">
        <v>20</v>
      </c>
      <c r="C107" s="7" t="s">
        <v>21</v>
      </c>
      <c r="D107" s="7"/>
      <c r="E107" s="8">
        <v>3722.8</v>
      </c>
      <c r="F107" s="8">
        <v>4348</v>
      </c>
      <c r="G107" s="8">
        <v>4386.3</v>
      </c>
      <c r="H107" s="8">
        <v>5232.5</v>
      </c>
      <c r="I107" s="8">
        <v>5382.4</v>
      </c>
      <c r="J107" s="8">
        <v>5010</v>
      </c>
      <c r="K107" s="8">
        <v>5439.5</v>
      </c>
      <c r="L107" s="8">
        <v>6067.6</v>
      </c>
      <c r="M107" s="8" t="s">
        <v>1483</v>
      </c>
      <c r="N107" s="8" t="s">
        <v>1483</v>
      </c>
    </row>
    <row r="108" spans="1:14" x14ac:dyDescent="0.25">
      <c r="A108" s="6" t="s">
        <v>1574</v>
      </c>
      <c r="B108" s="7" t="s">
        <v>1448</v>
      </c>
      <c r="C108" s="7" t="s">
        <v>1447</v>
      </c>
      <c r="D108" s="7"/>
      <c r="E108" s="8">
        <v>2035.2</v>
      </c>
      <c r="F108" s="8">
        <v>2086.8000000000002</v>
      </c>
      <c r="G108" s="8">
        <v>2408.1</v>
      </c>
      <c r="H108" s="8">
        <v>2293.3000000000002</v>
      </c>
      <c r="I108" s="8">
        <v>2553.5</v>
      </c>
      <c r="J108" s="8">
        <v>2722.7</v>
      </c>
      <c r="K108" s="8">
        <v>2943.3</v>
      </c>
      <c r="L108" s="8">
        <v>3469.2</v>
      </c>
      <c r="M108" s="8">
        <v>3323.9053597059246</v>
      </c>
      <c r="N108" s="8">
        <v>3608.5808010077153</v>
      </c>
    </row>
    <row r="109" spans="1:14" x14ac:dyDescent="0.25">
      <c r="A109" s="6" t="s">
        <v>1555</v>
      </c>
      <c r="B109" s="7" t="s">
        <v>1141</v>
      </c>
      <c r="C109" s="7" t="s">
        <v>1140</v>
      </c>
      <c r="D109" s="7"/>
      <c r="E109" s="8">
        <v>748.2</v>
      </c>
      <c r="F109" s="8">
        <v>1146.8</v>
      </c>
      <c r="G109" s="8">
        <v>897.6</v>
      </c>
      <c r="H109" s="8">
        <v>1690.3</v>
      </c>
      <c r="I109" s="8">
        <v>1748.5</v>
      </c>
      <c r="J109" s="8">
        <v>1308.9000000000001</v>
      </c>
      <c r="K109" s="8">
        <v>1378.7</v>
      </c>
      <c r="L109" s="8">
        <v>1264.2</v>
      </c>
      <c r="M109" s="8">
        <v>1852.984799264374</v>
      </c>
      <c r="N109" s="8">
        <v>2092.7505797155927</v>
      </c>
    </row>
    <row r="110" spans="1:14" x14ac:dyDescent="0.25">
      <c r="A110" s="6" t="s">
        <v>1556</v>
      </c>
      <c r="B110" s="7" t="s">
        <v>1138</v>
      </c>
      <c r="C110" s="7" t="s">
        <v>1137</v>
      </c>
      <c r="D110" s="7"/>
      <c r="E110" s="8">
        <v>20.09777586762652</v>
      </c>
      <c r="F110" s="8">
        <v>26.375344986200549</v>
      </c>
      <c r="G110" s="8">
        <v>20.463716572053894</v>
      </c>
      <c r="H110" s="8">
        <v>32.303870043000479</v>
      </c>
      <c r="I110" s="8">
        <v>32.485508323424497</v>
      </c>
      <c r="J110" s="8">
        <v>26.125748502994011</v>
      </c>
      <c r="K110" s="8">
        <v>25.34607960290468</v>
      </c>
      <c r="L110" s="8">
        <v>20.835256114443933</v>
      </c>
      <c r="M110" s="8">
        <v>27.202916284877926</v>
      </c>
      <c r="N110" s="8">
        <v>27.400000000000002</v>
      </c>
    </row>
    <row r="111" spans="1:14" x14ac:dyDescent="0.25">
      <c r="A111" s="6" t="s">
        <v>1575</v>
      </c>
      <c r="B111" s="7" t="s">
        <v>232</v>
      </c>
      <c r="C111" s="7" t="s">
        <v>233</v>
      </c>
      <c r="D111" s="7"/>
      <c r="E111" s="8">
        <v>-13.2</v>
      </c>
      <c r="F111" s="8">
        <v>-19.7</v>
      </c>
      <c r="G111" s="8">
        <v>-19.100000000000001</v>
      </c>
      <c r="H111" s="8">
        <v>-11.7</v>
      </c>
      <c r="I111" s="8">
        <v>-18.899999999999999</v>
      </c>
      <c r="J111" s="8">
        <v>-63.5</v>
      </c>
      <c r="K111" s="8">
        <v>-169.4</v>
      </c>
      <c r="L111" s="8">
        <v>-8.6999999999999993</v>
      </c>
      <c r="M111" s="8">
        <v>-160.24130237386993</v>
      </c>
      <c r="N111" s="8">
        <v>-155.56728431661347</v>
      </c>
    </row>
    <row r="112" spans="1:14" x14ac:dyDescent="0.25">
      <c r="A112" s="6" t="s">
        <v>1565</v>
      </c>
      <c r="B112" s="7" t="s">
        <v>1446</v>
      </c>
      <c r="C112" s="7" t="s">
        <v>1445</v>
      </c>
      <c r="D112" s="7"/>
      <c r="E112" s="8">
        <v>5.0999999999999996</v>
      </c>
      <c r="F112" s="8">
        <v>10.3</v>
      </c>
      <c r="G112" s="8">
        <v>10.199999999999999</v>
      </c>
      <c r="H112" s="8">
        <v>11.7</v>
      </c>
      <c r="I112" s="8">
        <v>13.9</v>
      </c>
      <c r="J112" s="8">
        <v>11.1</v>
      </c>
      <c r="K112" s="8">
        <v>9.8000000000000007</v>
      </c>
      <c r="L112" s="8">
        <v>17</v>
      </c>
      <c r="M112" s="8">
        <v>17.225000000000001</v>
      </c>
      <c r="N112" s="8">
        <v>16.25</v>
      </c>
    </row>
    <row r="113" spans="1:14" x14ac:dyDescent="0.25">
      <c r="A113" s="6" t="s">
        <v>1564</v>
      </c>
      <c r="B113" s="7" t="s">
        <v>238</v>
      </c>
      <c r="C113" s="7" t="s">
        <v>239</v>
      </c>
      <c r="D113" s="7"/>
      <c r="E113" s="8">
        <v>39.200000000000003</v>
      </c>
      <c r="F113" s="8">
        <v>119.6</v>
      </c>
      <c r="G113" s="8">
        <v>93.3</v>
      </c>
      <c r="H113" s="8">
        <v>198.9</v>
      </c>
      <c r="I113" s="8">
        <v>245.5</v>
      </c>
      <c r="J113" s="8">
        <v>152.4</v>
      </c>
      <c r="K113" s="8">
        <v>152.1</v>
      </c>
      <c r="L113" s="8">
        <v>216.9</v>
      </c>
      <c r="M113" s="8">
        <v>337.13683964293392</v>
      </c>
      <c r="N113" s="8">
        <v>367.35157729930859</v>
      </c>
    </row>
    <row r="114" spans="1:14" x14ac:dyDescent="0.25">
      <c r="A114" s="6" t="s">
        <v>1567</v>
      </c>
      <c r="B114" s="7" t="s">
        <v>241</v>
      </c>
      <c r="C114" s="7" t="s">
        <v>242</v>
      </c>
      <c r="D114" s="7"/>
      <c r="E114" s="8">
        <v>722.2</v>
      </c>
      <c r="F114" s="8">
        <v>1046.9000000000001</v>
      </c>
      <c r="G114" s="8">
        <v>823.4</v>
      </c>
      <c r="H114" s="8">
        <v>1503.1</v>
      </c>
      <c r="I114" s="8">
        <v>1521.9</v>
      </c>
      <c r="J114" s="8">
        <v>1399.4</v>
      </c>
      <c r="K114" s="8">
        <v>4169.7</v>
      </c>
      <c r="L114" s="8">
        <v>1069.4000000000001</v>
      </c>
      <c r="M114" s="8">
        <v>1688</v>
      </c>
      <c r="N114" s="8">
        <v>1817.4782608695652</v>
      </c>
    </row>
    <row r="115" spans="1:14" x14ac:dyDescent="0.25">
      <c r="A115" s="6" t="s">
        <v>1571</v>
      </c>
      <c r="B115" s="7" t="s">
        <v>247</v>
      </c>
      <c r="C115" s="7" t="s">
        <v>248</v>
      </c>
      <c r="D115" s="7"/>
      <c r="E115" s="8">
        <v>1.1266666666666667</v>
      </c>
      <c r="F115" s="8">
        <v>1.6433333333333333</v>
      </c>
      <c r="G115" s="8">
        <v>1.3</v>
      </c>
      <c r="H115" s="8">
        <v>2.38</v>
      </c>
      <c r="I115" s="8">
        <v>2.44</v>
      </c>
      <c r="J115" s="8">
        <v>2.2999999999999998</v>
      </c>
      <c r="K115" s="8">
        <v>6.97</v>
      </c>
      <c r="L115" s="8">
        <v>1.83</v>
      </c>
      <c r="M115" s="8">
        <v>2.8147368421052632</v>
      </c>
      <c r="N115" s="8">
        <v>3.1494444444444438</v>
      </c>
    </row>
    <row r="116" spans="1:14" x14ac:dyDescent="0.25">
      <c r="A116" s="6"/>
      <c r="B116" s="7"/>
      <c r="C116" s="7"/>
      <c r="D116" s="7"/>
      <c r="E116" s="8"/>
      <c r="F116" s="8"/>
      <c r="G116" s="8"/>
      <c r="H116" s="8"/>
      <c r="I116" s="8"/>
      <c r="J116" s="8"/>
      <c r="K116" s="8"/>
      <c r="L116" s="8"/>
      <c r="M116" s="8"/>
      <c r="N116" s="8"/>
    </row>
    <row r="117" spans="1:14" x14ac:dyDescent="0.25">
      <c r="A117" s="6" t="s">
        <v>1576</v>
      </c>
      <c r="B117" s="7"/>
      <c r="C117" s="7"/>
      <c r="D117" s="7"/>
      <c r="E117" s="8"/>
      <c r="F117" s="8"/>
      <c r="G117" s="8"/>
      <c r="H117" s="8"/>
      <c r="I117" s="8"/>
      <c r="J117" s="8"/>
      <c r="K117" s="8"/>
      <c r="L117" s="8"/>
      <c r="M117" s="8"/>
      <c r="N117" s="8"/>
    </row>
    <row r="118" spans="1:14" x14ac:dyDescent="0.25">
      <c r="A118" s="6" t="s">
        <v>1577</v>
      </c>
      <c r="B118" s="7" t="s">
        <v>1444</v>
      </c>
      <c r="C118" s="7" t="s">
        <v>1443</v>
      </c>
      <c r="D118" s="7"/>
      <c r="E118" s="8">
        <v>214</v>
      </c>
      <c r="F118" s="8">
        <v>33.4</v>
      </c>
      <c r="G118" s="8">
        <v>405.4</v>
      </c>
      <c r="H118" s="8">
        <v>20.6</v>
      </c>
      <c r="I118" s="8">
        <v>15.8</v>
      </c>
      <c r="J118" s="8">
        <v>203.5</v>
      </c>
      <c r="K118" s="8">
        <v>40.4</v>
      </c>
      <c r="L118" s="8">
        <v>325.39999999999998</v>
      </c>
      <c r="M118" s="8">
        <v>42.666666666666664</v>
      </c>
      <c r="N118" s="8">
        <v>34.333333333333336</v>
      </c>
    </row>
    <row r="119" spans="1:14" x14ac:dyDescent="0.25">
      <c r="A119" s="6" t="s">
        <v>1578</v>
      </c>
      <c r="B119" s="7" t="s">
        <v>1442</v>
      </c>
      <c r="C119" s="7" t="s">
        <v>1441</v>
      </c>
      <c r="D119" s="7"/>
      <c r="E119" s="8">
        <v>324.5</v>
      </c>
      <c r="F119" s="8">
        <v>91.9</v>
      </c>
      <c r="G119" s="8">
        <v>419</v>
      </c>
      <c r="H119" s="8">
        <v>-103.5</v>
      </c>
      <c r="I119" s="8">
        <v>40.700000000000003</v>
      </c>
      <c r="J119" s="8">
        <v>177.3</v>
      </c>
      <c r="K119" s="8">
        <v>101.4</v>
      </c>
      <c r="L119" s="8">
        <v>332</v>
      </c>
      <c r="M119" s="8">
        <v>60.1273989857579</v>
      </c>
      <c r="N119" s="8">
        <v>71.268005376438211</v>
      </c>
    </row>
    <row r="120" spans="1:14" x14ac:dyDescent="0.25">
      <c r="A120" s="6"/>
      <c r="B120" s="7"/>
      <c r="C120" s="7"/>
      <c r="D120" s="7"/>
      <c r="E120" s="8"/>
      <c r="F120" s="8"/>
      <c r="G120" s="8"/>
      <c r="H120" s="8"/>
      <c r="I120" s="8"/>
      <c r="J120" s="8"/>
      <c r="K120" s="8"/>
      <c r="L120" s="8"/>
      <c r="M120" s="8"/>
      <c r="N120" s="8"/>
    </row>
    <row r="121" spans="1:14" x14ac:dyDescent="0.25">
      <c r="A121" s="6" t="s">
        <v>1579</v>
      </c>
      <c r="B121" s="7"/>
      <c r="C121" s="7"/>
      <c r="D121" s="7"/>
      <c r="E121" s="8"/>
      <c r="F121" s="8"/>
      <c r="G121" s="8"/>
      <c r="H121" s="8"/>
      <c r="I121" s="8"/>
      <c r="J121" s="8"/>
      <c r="K121" s="8"/>
      <c r="L121" s="8"/>
      <c r="M121" s="8"/>
      <c r="N121" s="8"/>
    </row>
    <row r="122" spans="1:14" x14ac:dyDescent="0.25">
      <c r="A122" s="6" t="s">
        <v>1580</v>
      </c>
      <c r="B122" s="7"/>
      <c r="C122" s="7"/>
      <c r="D122" s="7"/>
      <c r="E122" s="8"/>
      <c r="F122" s="8"/>
      <c r="G122" s="8"/>
      <c r="H122" s="8"/>
      <c r="I122" s="8"/>
      <c r="J122" s="8"/>
      <c r="K122" s="8"/>
      <c r="L122" s="8"/>
      <c r="M122" s="8"/>
      <c r="N122" s="8"/>
    </row>
    <row r="123" spans="1:14" x14ac:dyDescent="0.25">
      <c r="A123" s="6" t="s">
        <v>1581</v>
      </c>
      <c r="B123" s="7" t="s">
        <v>256</v>
      </c>
      <c r="C123" s="7" t="s">
        <v>257</v>
      </c>
      <c r="D123" s="7"/>
      <c r="E123" s="8">
        <v>2286.9</v>
      </c>
      <c r="F123" s="8">
        <v>2984</v>
      </c>
      <c r="G123" s="8">
        <v>3091</v>
      </c>
      <c r="H123" s="8">
        <v>3180.7</v>
      </c>
      <c r="I123" s="8">
        <v>3095.8</v>
      </c>
      <c r="J123" s="8">
        <v>4035.7</v>
      </c>
      <c r="K123" s="8">
        <v>6285.4</v>
      </c>
      <c r="L123" s="8">
        <v>6738.9</v>
      </c>
      <c r="M123" s="8">
        <v>7352.7696130099439</v>
      </c>
      <c r="N123" s="8">
        <v>8580.3823268283504</v>
      </c>
    </row>
    <row r="124" spans="1:14" x14ac:dyDescent="0.25">
      <c r="A124" s="6" t="s">
        <v>1582</v>
      </c>
      <c r="B124" s="7" t="s">
        <v>259</v>
      </c>
      <c r="C124" s="7" t="s">
        <v>260</v>
      </c>
      <c r="D124" s="7"/>
      <c r="E124" s="8">
        <v>956.5</v>
      </c>
      <c r="F124" s="8">
        <v>1516.9</v>
      </c>
      <c r="G124" s="8">
        <v>1402.6</v>
      </c>
      <c r="H124" s="8">
        <v>1466.8</v>
      </c>
      <c r="I124" s="8">
        <v>1215.3</v>
      </c>
      <c r="J124" s="8">
        <v>1632.8</v>
      </c>
      <c r="K124" s="8">
        <v>3975.9</v>
      </c>
      <c r="L124" s="8">
        <v>4226.3</v>
      </c>
      <c r="M124" s="8">
        <v>4998.0841035368194</v>
      </c>
      <c r="N124" s="8">
        <v>6252.2976938904167</v>
      </c>
    </row>
    <row r="125" spans="1:14" x14ac:dyDescent="0.25">
      <c r="A125" s="6" t="s">
        <v>1583</v>
      </c>
      <c r="B125" s="7" t="s">
        <v>262</v>
      </c>
      <c r="C125" s="7" t="s">
        <v>263</v>
      </c>
      <c r="D125" s="7"/>
      <c r="E125" s="8">
        <v>714.1</v>
      </c>
      <c r="F125" s="8">
        <v>1179.0999999999999</v>
      </c>
      <c r="G125" s="8">
        <v>1183.2</v>
      </c>
      <c r="H125" s="8">
        <v>862.8</v>
      </c>
      <c r="I125" s="8">
        <v>769</v>
      </c>
      <c r="J125" s="8">
        <v>1132.3</v>
      </c>
      <c r="K125" s="8">
        <v>3045.2</v>
      </c>
      <c r="L125" s="8">
        <v>2938</v>
      </c>
      <c r="M125" s="8">
        <v>3541.6948628815835</v>
      </c>
      <c r="N125" s="8">
        <v>4521.8273736051879</v>
      </c>
    </row>
    <row r="126" spans="1:14" x14ac:dyDescent="0.25">
      <c r="A126" s="6" t="s">
        <v>1584</v>
      </c>
      <c r="B126" s="7" t="s">
        <v>1440</v>
      </c>
      <c r="C126" s="7" t="s">
        <v>1439</v>
      </c>
      <c r="D126" s="7"/>
      <c r="E126" s="8">
        <v>456.9</v>
      </c>
      <c r="F126" s="8">
        <v>543.6</v>
      </c>
      <c r="G126" s="8">
        <v>514.6</v>
      </c>
      <c r="H126" s="8">
        <v>582.20000000000005</v>
      </c>
      <c r="I126" s="8">
        <v>643</v>
      </c>
      <c r="J126" s="8">
        <v>771.5</v>
      </c>
      <c r="K126" s="8">
        <v>609.1</v>
      </c>
      <c r="L126" s="8">
        <v>659.6</v>
      </c>
      <c r="M126" s="8">
        <v>898.40357274402322</v>
      </c>
      <c r="N126" s="8">
        <v>985.03837419980812</v>
      </c>
    </row>
    <row r="127" spans="1:14" x14ac:dyDescent="0.25">
      <c r="A127" s="6" t="s">
        <v>1585</v>
      </c>
      <c r="B127" s="7" t="s">
        <v>271</v>
      </c>
      <c r="C127" s="7" t="s">
        <v>272</v>
      </c>
      <c r="D127" s="7"/>
      <c r="E127" s="8">
        <v>607</v>
      </c>
      <c r="F127" s="8">
        <v>640.9</v>
      </c>
      <c r="G127" s="8">
        <v>802.3</v>
      </c>
      <c r="H127" s="8">
        <v>726.7</v>
      </c>
      <c r="I127" s="8">
        <v>875.5</v>
      </c>
      <c r="J127" s="8">
        <v>903.5</v>
      </c>
      <c r="K127" s="8">
        <v>1086.7</v>
      </c>
      <c r="L127" s="8">
        <v>1126.2</v>
      </c>
      <c r="M127" s="8">
        <v>1250.3031566677962</v>
      </c>
      <c r="N127" s="8">
        <v>1356.1103093870629</v>
      </c>
    </row>
    <row r="128" spans="1:14" x14ac:dyDescent="0.25">
      <c r="A128" s="6" t="s">
        <v>1586</v>
      </c>
      <c r="B128" s="7" t="s">
        <v>265</v>
      </c>
      <c r="C128" s="7" t="s">
        <v>266</v>
      </c>
      <c r="D128" s="7"/>
      <c r="E128" s="8">
        <v>242.4</v>
      </c>
      <c r="F128" s="8">
        <v>337.8</v>
      </c>
      <c r="G128" s="8">
        <v>219.4</v>
      </c>
      <c r="H128" s="8">
        <v>604</v>
      </c>
      <c r="I128" s="8">
        <v>446.3</v>
      </c>
      <c r="J128" s="8">
        <v>500.5</v>
      </c>
      <c r="K128" s="8">
        <v>930.7</v>
      </c>
      <c r="L128" s="8">
        <v>1288.3</v>
      </c>
      <c r="M128" s="8">
        <v>1091.9142857142856</v>
      </c>
      <c r="N128" s="8">
        <v>1091.9142857142856</v>
      </c>
    </row>
    <row r="129" spans="1:14" x14ac:dyDescent="0.25">
      <c r="A129" s="6" t="s">
        <v>1587</v>
      </c>
      <c r="B129" s="7" t="s">
        <v>1438</v>
      </c>
      <c r="C129" s="7" t="s">
        <v>1437</v>
      </c>
      <c r="D129" s="7"/>
      <c r="E129" s="8">
        <v>266.5</v>
      </c>
      <c r="F129" s="8">
        <v>282.60000000000002</v>
      </c>
      <c r="G129" s="8">
        <v>379.6</v>
      </c>
      <c r="H129" s="8">
        <v>405</v>
      </c>
      <c r="I129" s="8">
        <v>362</v>
      </c>
      <c r="J129" s="8">
        <v>727.9</v>
      </c>
      <c r="K129" s="8">
        <v>613.70000000000005</v>
      </c>
      <c r="L129" s="8">
        <v>726.8</v>
      </c>
      <c r="M129" s="8">
        <v>588.50480567675197</v>
      </c>
      <c r="N129" s="8">
        <v>627.43728333137597</v>
      </c>
    </row>
    <row r="130" spans="1:14" x14ac:dyDescent="0.25">
      <c r="A130" s="6" t="s">
        <v>1588</v>
      </c>
      <c r="B130" s="7" t="s">
        <v>1311</v>
      </c>
      <c r="C130" s="7" t="s">
        <v>1310</v>
      </c>
      <c r="D130" s="7"/>
      <c r="E130" s="8">
        <v>54.3</v>
      </c>
      <c r="F130" s="8">
        <v>59.1</v>
      </c>
      <c r="G130" s="8">
        <v>75.099999999999994</v>
      </c>
      <c r="H130" s="8">
        <v>85.2</v>
      </c>
      <c r="I130" s="8">
        <v>110</v>
      </c>
      <c r="J130" s="8">
        <v>128.80000000000001</v>
      </c>
      <c r="K130" s="8">
        <v>121</v>
      </c>
      <c r="L130" s="8">
        <v>135</v>
      </c>
      <c r="M130" s="8">
        <v>137.31617658650489</v>
      </c>
      <c r="N130" s="8">
        <v>134.57103227193576</v>
      </c>
    </row>
    <row r="131" spans="1:14" x14ac:dyDescent="0.25">
      <c r="A131" s="6" t="s">
        <v>1589</v>
      </c>
      <c r="B131" s="7" t="s">
        <v>1308</v>
      </c>
      <c r="C131" s="7" t="s">
        <v>1307</v>
      </c>
      <c r="D131" s="7"/>
      <c r="E131" s="8">
        <v>131.80000000000001</v>
      </c>
      <c r="F131" s="8">
        <v>168</v>
      </c>
      <c r="G131" s="8">
        <v>208.2</v>
      </c>
      <c r="H131" s="8">
        <v>237.1</v>
      </c>
      <c r="I131" s="8">
        <v>195.9</v>
      </c>
      <c r="J131" s="8">
        <v>224.9</v>
      </c>
      <c r="K131" s="8">
        <v>347.6</v>
      </c>
      <c r="L131" s="8">
        <v>339.3</v>
      </c>
      <c r="M131" s="8">
        <v>351.93333333333334</v>
      </c>
      <c r="N131" s="8">
        <v>355.90646013236699</v>
      </c>
    </row>
    <row r="132" spans="1:14" x14ac:dyDescent="0.25">
      <c r="A132" s="6" t="s">
        <v>1590</v>
      </c>
      <c r="B132" s="7" t="s">
        <v>277</v>
      </c>
      <c r="C132" s="7" t="s">
        <v>278</v>
      </c>
      <c r="D132" s="7"/>
      <c r="E132" s="8">
        <v>3036.8</v>
      </c>
      <c r="F132" s="8">
        <v>3504.1</v>
      </c>
      <c r="G132" s="8">
        <v>4146.1000000000004</v>
      </c>
      <c r="H132" s="8">
        <v>5321.9</v>
      </c>
      <c r="I132" s="8">
        <v>5196.7</v>
      </c>
      <c r="J132" s="8">
        <v>5327.5</v>
      </c>
      <c r="K132" s="8">
        <v>6769.9</v>
      </c>
      <c r="L132" s="8">
        <v>6958.3</v>
      </c>
      <c r="M132" s="8">
        <v>7089.5392550954466</v>
      </c>
      <c r="N132" s="8">
        <v>7204.5782619339443</v>
      </c>
    </row>
    <row r="133" spans="1:14" x14ac:dyDescent="0.25">
      <c r="A133" s="6" t="s">
        <v>1591</v>
      </c>
      <c r="B133" s="7" t="s">
        <v>280</v>
      </c>
      <c r="C133" s="7" t="s">
        <v>281</v>
      </c>
      <c r="D133" s="7"/>
      <c r="E133" s="8">
        <v>867.5</v>
      </c>
      <c r="F133" s="8">
        <v>1060.3</v>
      </c>
      <c r="G133" s="8">
        <v>1395.2</v>
      </c>
      <c r="H133" s="8">
        <v>1546.6</v>
      </c>
      <c r="I133" s="8">
        <v>1632.8</v>
      </c>
      <c r="J133" s="8">
        <v>1591</v>
      </c>
      <c r="K133" s="8">
        <v>1686</v>
      </c>
      <c r="L133" s="8">
        <v>1811.9</v>
      </c>
      <c r="M133" s="8">
        <v>1931.1040748823293</v>
      </c>
      <c r="N133" s="8">
        <v>2069.4107173178872</v>
      </c>
    </row>
    <row r="134" spans="1:14" x14ac:dyDescent="0.25">
      <c r="A134" s="6" t="s">
        <v>1592</v>
      </c>
      <c r="B134" s="7" t="s">
        <v>1436</v>
      </c>
      <c r="C134" s="7" t="s">
        <v>1435</v>
      </c>
      <c r="D134" s="7"/>
      <c r="E134" s="8">
        <v>0</v>
      </c>
      <c r="F134" s="8">
        <v>80.099999999999994</v>
      </c>
      <c r="G134" s="8">
        <v>94.2</v>
      </c>
      <c r="H134" s="8">
        <v>92.1</v>
      </c>
      <c r="I134" s="8">
        <v>92.3</v>
      </c>
      <c r="J134" s="8">
        <v>84.4</v>
      </c>
      <c r="K134" s="8">
        <v>98.2</v>
      </c>
      <c r="L134" s="8">
        <v>102.7</v>
      </c>
      <c r="M134" s="8">
        <v>99.133333333333326</v>
      </c>
      <c r="N134" s="8">
        <v>98.474999999999994</v>
      </c>
    </row>
    <row r="135" spans="1:14" x14ac:dyDescent="0.25">
      <c r="A135" s="6" t="s">
        <v>1593</v>
      </c>
      <c r="B135" s="7" t="s">
        <v>295</v>
      </c>
      <c r="C135" s="7" t="s">
        <v>296</v>
      </c>
      <c r="D135" s="7"/>
      <c r="E135" s="8">
        <v>1112.2</v>
      </c>
      <c r="F135" s="8">
        <v>1167.7</v>
      </c>
      <c r="G135" s="8">
        <v>1173.2</v>
      </c>
      <c r="H135" s="8">
        <v>1167.9000000000001</v>
      </c>
      <c r="I135" s="8">
        <v>1164.3</v>
      </c>
      <c r="J135" s="8">
        <v>1145.0999999999999</v>
      </c>
      <c r="K135" s="8">
        <v>1776.7</v>
      </c>
      <c r="L135" s="8">
        <v>1768.6</v>
      </c>
      <c r="M135" s="8">
        <v>1858.01</v>
      </c>
      <c r="N135" s="8">
        <v>1856.53</v>
      </c>
    </row>
    <row r="136" spans="1:14" x14ac:dyDescent="0.25">
      <c r="A136" s="6" t="s">
        <v>1594</v>
      </c>
      <c r="B136" s="7" t="s">
        <v>298</v>
      </c>
      <c r="C136" s="7" t="s">
        <v>299</v>
      </c>
      <c r="D136" s="7"/>
      <c r="E136" s="8">
        <v>343.2</v>
      </c>
      <c r="F136" s="8">
        <v>336.5</v>
      </c>
      <c r="G136" s="8">
        <v>331.4</v>
      </c>
      <c r="H136" s="8">
        <v>323.60000000000002</v>
      </c>
      <c r="I136" s="8">
        <v>285.2</v>
      </c>
      <c r="J136" s="8">
        <v>399.4</v>
      </c>
      <c r="K136" s="8">
        <v>1176.5999999999999</v>
      </c>
      <c r="L136" s="8">
        <v>1128.2</v>
      </c>
      <c r="M136" s="8">
        <v>1114.6968755555554</v>
      </c>
      <c r="N136" s="8">
        <v>1078.769337510591</v>
      </c>
    </row>
    <row r="137" spans="1:14" x14ac:dyDescent="0.25">
      <c r="A137" s="6" t="s">
        <v>1595</v>
      </c>
      <c r="B137" s="7" t="s">
        <v>1434</v>
      </c>
      <c r="C137" s="7" t="s">
        <v>1433</v>
      </c>
      <c r="D137" s="7"/>
      <c r="E137" s="8">
        <v>506.3</v>
      </c>
      <c r="F137" s="8">
        <v>585.5</v>
      </c>
      <c r="G137" s="8">
        <v>801.6</v>
      </c>
      <c r="H137" s="8">
        <v>1834.2</v>
      </c>
      <c r="I137" s="8">
        <v>1239</v>
      </c>
      <c r="J137" s="8">
        <v>583.9</v>
      </c>
      <c r="K137" s="8">
        <v>307.89999999999998</v>
      </c>
      <c r="L137" s="8">
        <v>278.60000000000002</v>
      </c>
      <c r="M137" s="8">
        <v>306.61909966390402</v>
      </c>
      <c r="N137" s="8">
        <v>342.41919286005486</v>
      </c>
    </row>
    <row r="138" spans="1:14" x14ac:dyDescent="0.25">
      <c r="A138" s="6" t="s">
        <v>1596</v>
      </c>
      <c r="B138" s="7" t="s">
        <v>289</v>
      </c>
      <c r="C138" s="7" t="s">
        <v>290</v>
      </c>
      <c r="D138" s="7"/>
      <c r="E138" s="8">
        <v>174</v>
      </c>
      <c r="F138" s="8">
        <v>172.2</v>
      </c>
      <c r="G138" s="8">
        <v>230.9</v>
      </c>
      <c r="H138" s="8">
        <v>246.7</v>
      </c>
      <c r="I138" s="8">
        <v>484</v>
      </c>
      <c r="J138" s="8">
        <v>749.4</v>
      </c>
      <c r="K138" s="8">
        <v>992.1</v>
      </c>
      <c r="L138" s="8">
        <v>1138.0999999999999</v>
      </c>
      <c r="M138" s="8">
        <v>1056.78</v>
      </c>
      <c r="N138" s="8">
        <v>1047.3977143733589</v>
      </c>
    </row>
    <row r="139" spans="1:14" x14ac:dyDescent="0.25">
      <c r="A139" s="6" t="s">
        <v>1597</v>
      </c>
      <c r="B139" s="7" t="s">
        <v>292</v>
      </c>
      <c r="C139" s="7" t="s">
        <v>293</v>
      </c>
      <c r="D139" s="7"/>
      <c r="E139" s="8">
        <v>1455.4</v>
      </c>
      <c r="F139" s="8">
        <v>1504.2</v>
      </c>
      <c r="G139" s="8">
        <v>1504.6</v>
      </c>
      <c r="H139" s="8">
        <v>1491.5</v>
      </c>
      <c r="I139" s="8">
        <v>1449.5</v>
      </c>
      <c r="J139" s="8">
        <v>1544.5</v>
      </c>
      <c r="K139" s="8">
        <v>2953.3</v>
      </c>
      <c r="L139" s="8">
        <v>2896.8</v>
      </c>
      <c r="M139" s="8">
        <v>2903.5349999999999</v>
      </c>
      <c r="N139" s="8">
        <v>2898.9549999999999</v>
      </c>
    </row>
    <row r="140" spans="1:14" x14ac:dyDescent="0.25">
      <c r="A140" s="6" t="s">
        <v>1598</v>
      </c>
      <c r="B140" s="7" t="s">
        <v>300</v>
      </c>
      <c r="C140" s="7" t="s">
        <v>301</v>
      </c>
      <c r="D140" s="7"/>
      <c r="E140" s="8">
        <v>33.6</v>
      </c>
      <c r="F140" s="8">
        <v>101.8</v>
      </c>
      <c r="G140" s="8">
        <v>119.6</v>
      </c>
      <c r="H140" s="8">
        <v>110.8</v>
      </c>
      <c r="I140" s="8">
        <v>299.10000000000002</v>
      </c>
      <c r="J140" s="8">
        <v>463.2</v>
      </c>
      <c r="K140" s="8">
        <v>721.6</v>
      </c>
      <c r="L140" s="8">
        <v>730.2</v>
      </c>
      <c r="M140" s="8">
        <v>758.6</v>
      </c>
      <c r="N140" s="8">
        <v>736.23752673180002</v>
      </c>
    </row>
    <row r="141" spans="1:14" x14ac:dyDescent="0.25">
      <c r="A141" s="6" t="s">
        <v>1599</v>
      </c>
      <c r="B141" s="7" t="s">
        <v>303</v>
      </c>
      <c r="C141" s="7" t="s">
        <v>304</v>
      </c>
      <c r="D141" s="7"/>
      <c r="E141" s="8">
        <v>5323.7</v>
      </c>
      <c r="F141" s="8">
        <v>6488.1</v>
      </c>
      <c r="G141" s="8">
        <v>7237.1</v>
      </c>
      <c r="H141" s="8">
        <v>8502.6</v>
      </c>
      <c r="I141" s="8">
        <v>8292.5</v>
      </c>
      <c r="J141" s="8">
        <v>9363.2000000000007</v>
      </c>
      <c r="K141" s="8">
        <v>13055.3</v>
      </c>
      <c r="L141" s="8">
        <v>13697.2</v>
      </c>
      <c r="M141" s="8">
        <v>14483.406981339826</v>
      </c>
      <c r="N141" s="8">
        <v>15873.124118520202</v>
      </c>
    </row>
    <row r="142" spans="1:14" x14ac:dyDescent="0.25">
      <c r="A142" s="6"/>
      <c r="B142" s="7"/>
      <c r="C142" s="7"/>
      <c r="D142" s="7"/>
      <c r="E142" s="8"/>
      <c r="F142" s="8"/>
      <c r="G142" s="8"/>
      <c r="H142" s="8"/>
      <c r="I142" s="8"/>
      <c r="J142" s="8"/>
      <c r="K142" s="8"/>
      <c r="L142" s="8"/>
      <c r="M142" s="8"/>
      <c r="N142" s="8"/>
    </row>
    <row r="143" spans="1:14" x14ac:dyDescent="0.25">
      <c r="A143" s="6" t="s">
        <v>1600</v>
      </c>
      <c r="B143" s="7"/>
      <c r="C143" s="7"/>
      <c r="D143" s="7"/>
      <c r="E143" s="8"/>
      <c r="F143" s="8"/>
      <c r="G143" s="8"/>
      <c r="H143" s="8"/>
      <c r="I143" s="8"/>
      <c r="J143" s="8"/>
      <c r="K143" s="8"/>
      <c r="L143" s="8"/>
      <c r="M143" s="8"/>
      <c r="N143" s="8"/>
    </row>
    <row r="144" spans="1:14" x14ac:dyDescent="0.25">
      <c r="A144" s="6" t="s">
        <v>1601</v>
      </c>
      <c r="B144" s="7" t="s">
        <v>307</v>
      </c>
      <c r="C144" s="7" t="s">
        <v>308</v>
      </c>
      <c r="D144" s="7"/>
      <c r="E144" s="8">
        <v>876.6</v>
      </c>
      <c r="F144" s="8">
        <v>902.4</v>
      </c>
      <c r="G144" s="8">
        <v>893.9</v>
      </c>
      <c r="H144" s="8">
        <v>1032.3</v>
      </c>
      <c r="I144" s="8">
        <v>1022.4</v>
      </c>
      <c r="J144" s="8">
        <v>1195.4000000000001</v>
      </c>
      <c r="K144" s="8">
        <v>1505.2</v>
      </c>
      <c r="L144" s="8">
        <v>1813.7</v>
      </c>
      <c r="M144" s="8">
        <v>1469.3410982279506</v>
      </c>
      <c r="N144" s="8">
        <v>1549.9056174104649</v>
      </c>
    </row>
    <row r="145" spans="1:14" x14ac:dyDescent="0.25">
      <c r="A145" s="6" t="s">
        <v>1602</v>
      </c>
      <c r="B145" s="7" t="s">
        <v>310</v>
      </c>
      <c r="C145" s="7" t="s">
        <v>311</v>
      </c>
      <c r="D145" s="7"/>
      <c r="E145" s="8">
        <v>134</v>
      </c>
      <c r="F145" s="8">
        <v>180.4</v>
      </c>
      <c r="G145" s="8">
        <v>196.5</v>
      </c>
      <c r="H145" s="8">
        <v>204.5</v>
      </c>
      <c r="I145" s="8">
        <v>201.9</v>
      </c>
      <c r="J145" s="8">
        <v>186.6</v>
      </c>
      <c r="K145" s="8">
        <v>197.4</v>
      </c>
      <c r="L145" s="8">
        <v>227.5</v>
      </c>
      <c r="M145" s="8">
        <v>204.47677870321596</v>
      </c>
      <c r="N145" s="8">
        <v>217.61130513640256</v>
      </c>
    </row>
    <row r="146" spans="1:14" x14ac:dyDescent="0.25">
      <c r="A146" s="6" t="s">
        <v>1603</v>
      </c>
      <c r="B146" s="7" t="s">
        <v>1432</v>
      </c>
      <c r="C146" s="7" t="s">
        <v>1431</v>
      </c>
      <c r="D146" s="7"/>
      <c r="E146" s="8">
        <v>876.6</v>
      </c>
      <c r="F146" s="8">
        <v>696.5</v>
      </c>
      <c r="G146" s="8">
        <v>866.7</v>
      </c>
      <c r="H146" s="8">
        <v>802.3</v>
      </c>
      <c r="I146" s="8">
        <v>795</v>
      </c>
      <c r="J146" s="8">
        <v>856.4</v>
      </c>
      <c r="K146" s="8">
        <v>1282.4000000000001</v>
      </c>
      <c r="L146" s="8">
        <v>1561.7</v>
      </c>
      <c r="M146" s="8">
        <v>1280.8907692995881</v>
      </c>
      <c r="N146" s="8">
        <v>1313.3564602475674</v>
      </c>
    </row>
    <row r="147" spans="1:14" x14ac:dyDescent="0.25">
      <c r="A147" s="6" t="s">
        <v>1604</v>
      </c>
      <c r="B147" s="7" t="s">
        <v>1430</v>
      </c>
      <c r="C147" s="7" t="s">
        <v>1429</v>
      </c>
      <c r="D147" s="7"/>
      <c r="E147" s="8">
        <v>0</v>
      </c>
      <c r="F147" s="8">
        <v>25.5</v>
      </c>
      <c r="G147" s="8">
        <v>27.2</v>
      </c>
      <c r="H147" s="8">
        <v>25.5</v>
      </c>
      <c r="I147" s="8">
        <v>25.5</v>
      </c>
      <c r="J147" s="8">
        <v>22.9</v>
      </c>
      <c r="K147" s="8">
        <v>23.4</v>
      </c>
      <c r="L147" s="8">
        <v>24.5</v>
      </c>
      <c r="M147" s="8">
        <v>23.314442857142858</v>
      </c>
      <c r="N147" s="8">
        <v>23.750137500000001</v>
      </c>
    </row>
    <row r="148" spans="1:14" x14ac:dyDescent="0.25">
      <c r="A148" s="6" t="s">
        <v>1605</v>
      </c>
      <c r="B148" s="7" t="s">
        <v>572</v>
      </c>
      <c r="C148" s="7" t="s">
        <v>571</v>
      </c>
      <c r="D148" s="7"/>
      <c r="E148" s="8">
        <v>1306.7</v>
      </c>
      <c r="F148" s="8">
        <v>1437.4</v>
      </c>
      <c r="G148" s="8">
        <v>1768.9</v>
      </c>
      <c r="H148" s="8">
        <v>1634.4</v>
      </c>
      <c r="I148" s="8">
        <v>1463.4</v>
      </c>
      <c r="J148" s="8">
        <v>1448.4</v>
      </c>
      <c r="K148" s="8">
        <v>1487.2</v>
      </c>
      <c r="L148" s="8">
        <v>1545.9</v>
      </c>
      <c r="M148" s="8">
        <v>1490.4880766666668</v>
      </c>
      <c r="N148" s="8">
        <v>1494.9937189666668</v>
      </c>
    </row>
    <row r="149" spans="1:14" x14ac:dyDescent="0.25">
      <c r="A149" s="6" t="s">
        <v>1528</v>
      </c>
      <c r="B149" s="7" t="s">
        <v>331</v>
      </c>
      <c r="C149" s="7" t="s">
        <v>332</v>
      </c>
      <c r="D149" s="7"/>
      <c r="E149" s="8">
        <v>593.79999999999995</v>
      </c>
      <c r="F149" s="8">
        <v>594.4</v>
      </c>
      <c r="G149" s="8">
        <v>595</v>
      </c>
      <c r="H149" s="8">
        <v>595.70000000000005</v>
      </c>
      <c r="I149" s="8">
        <v>596.29999999999995</v>
      </c>
      <c r="J149" s="8">
        <v>597</v>
      </c>
      <c r="K149" s="8">
        <v>597.70000000000005</v>
      </c>
      <c r="L149" s="8">
        <v>598.29999999999995</v>
      </c>
      <c r="M149" s="8">
        <v>597.85</v>
      </c>
      <c r="N149" s="8">
        <v>597.85</v>
      </c>
    </row>
    <row r="150" spans="1:14" x14ac:dyDescent="0.25">
      <c r="A150" s="6" t="s">
        <v>1606</v>
      </c>
      <c r="B150" s="7" t="s">
        <v>1428</v>
      </c>
      <c r="C150" s="7" t="s">
        <v>1427</v>
      </c>
      <c r="D150" s="7"/>
      <c r="E150" s="8">
        <v>0</v>
      </c>
      <c r="F150" s="8">
        <v>58.9</v>
      </c>
      <c r="G150" s="8">
        <v>72.7</v>
      </c>
      <c r="H150" s="8">
        <v>69.099999999999994</v>
      </c>
      <c r="I150" s="8">
        <v>69.5</v>
      </c>
      <c r="J150" s="8">
        <v>65.2</v>
      </c>
      <c r="K150" s="8">
        <v>78.900000000000006</v>
      </c>
      <c r="L150" s="8">
        <v>82.6</v>
      </c>
      <c r="M150" s="8">
        <v>77.099999999999994</v>
      </c>
      <c r="N150" s="8">
        <v>76.5</v>
      </c>
    </row>
    <row r="151" spans="1:14" x14ac:dyDescent="0.25">
      <c r="A151" s="6" t="s">
        <v>1607</v>
      </c>
      <c r="B151" s="7" t="s">
        <v>337</v>
      </c>
      <c r="C151" s="7" t="s">
        <v>338</v>
      </c>
      <c r="D151" s="7"/>
      <c r="E151" s="8">
        <v>259.39999999999998</v>
      </c>
      <c r="F151" s="8">
        <v>236.6</v>
      </c>
      <c r="G151" s="8">
        <v>215.3</v>
      </c>
      <c r="H151" s="8">
        <v>190</v>
      </c>
      <c r="I151" s="8">
        <v>143.4</v>
      </c>
      <c r="J151" s="8">
        <v>80.599999999999994</v>
      </c>
      <c r="K151" s="8">
        <v>1.3</v>
      </c>
      <c r="L151" s="8" t="s">
        <v>1483</v>
      </c>
      <c r="M151" s="8" t="s">
        <v>1483</v>
      </c>
      <c r="N151" s="8">
        <v>88.278201727072329</v>
      </c>
    </row>
    <row r="152" spans="1:14" x14ac:dyDescent="0.25">
      <c r="A152" s="6" t="s">
        <v>1608</v>
      </c>
      <c r="B152" s="7" t="s">
        <v>342</v>
      </c>
      <c r="C152" s="7" t="s">
        <v>343</v>
      </c>
      <c r="D152" s="7"/>
      <c r="E152" s="8">
        <v>2183.3000000000002</v>
      </c>
      <c r="F152" s="8">
        <v>2339.8000000000002</v>
      </c>
      <c r="G152" s="8">
        <v>2662.8</v>
      </c>
      <c r="H152" s="8">
        <v>2666.7</v>
      </c>
      <c r="I152" s="8">
        <v>2485.8000000000002</v>
      </c>
      <c r="J152" s="8">
        <v>2643.8</v>
      </c>
      <c r="K152" s="8">
        <v>2992.4</v>
      </c>
      <c r="L152" s="8">
        <v>3359.6</v>
      </c>
      <c r="M152" s="8">
        <v>2988.3355849316195</v>
      </c>
      <c r="N152" s="8">
        <v>2992.0738779831936</v>
      </c>
    </row>
    <row r="153" spans="1:14" x14ac:dyDescent="0.25">
      <c r="A153" s="6" t="s">
        <v>1609</v>
      </c>
      <c r="B153" s="7" t="s">
        <v>345</v>
      </c>
      <c r="C153" s="7" t="s">
        <v>346</v>
      </c>
      <c r="D153" s="7"/>
      <c r="E153" s="8">
        <v>3140.4</v>
      </c>
      <c r="F153" s="8">
        <v>4148.3</v>
      </c>
      <c r="G153" s="8">
        <v>4574.3</v>
      </c>
      <c r="H153" s="8">
        <v>5835.9</v>
      </c>
      <c r="I153" s="8">
        <v>5806.7</v>
      </c>
      <c r="J153" s="8">
        <v>6650</v>
      </c>
      <c r="K153" s="8">
        <v>9998.4</v>
      </c>
      <c r="L153" s="8">
        <v>10337.6</v>
      </c>
      <c r="M153" s="8">
        <v>11580.866666666667</v>
      </c>
      <c r="N153" s="8">
        <v>12941.125</v>
      </c>
    </row>
    <row r="154" spans="1:14" x14ac:dyDescent="0.25">
      <c r="A154" s="6" t="s">
        <v>1610</v>
      </c>
      <c r="B154" s="7" t="s">
        <v>1298</v>
      </c>
      <c r="C154" s="7" t="s">
        <v>1297</v>
      </c>
      <c r="D154" s="7"/>
      <c r="E154" s="8">
        <v>0</v>
      </c>
      <c r="F154" s="8">
        <v>0</v>
      </c>
      <c r="G154" s="8">
        <v>0</v>
      </c>
      <c r="H154" s="8">
        <v>0</v>
      </c>
      <c r="I154" s="8">
        <v>0</v>
      </c>
      <c r="J154" s="8">
        <v>69.400000000000006</v>
      </c>
      <c r="K154" s="8">
        <v>64.5</v>
      </c>
      <c r="L154" s="8">
        <v>0</v>
      </c>
      <c r="M154" s="8">
        <v>64.5</v>
      </c>
      <c r="N154" s="8">
        <v>64.5</v>
      </c>
    </row>
    <row r="155" spans="1:14" x14ac:dyDescent="0.25">
      <c r="A155" s="6" t="s">
        <v>1611</v>
      </c>
      <c r="B155" s="7" t="s">
        <v>348</v>
      </c>
      <c r="C155" s="7" t="s">
        <v>349</v>
      </c>
      <c r="D155" s="7"/>
      <c r="E155" s="8">
        <v>215.2</v>
      </c>
      <c r="F155" s="8">
        <v>218.1</v>
      </c>
      <c r="G155" s="8">
        <v>636.4</v>
      </c>
      <c r="H155" s="8">
        <v>642</v>
      </c>
      <c r="I155" s="8">
        <v>646.29999999999995</v>
      </c>
      <c r="J155" s="8">
        <v>650.5</v>
      </c>
      <c r="K155" s="8">
        <v>654.79999999999995</v>
      </c>
      <c r="L155" s="8">
        <v>658.7</v>
      </c>
      <c r="M155" s="8">
        <v>657.06666666666661</v>
      </c>
      <c r="N155" s="8">
        <v>657.22857142857151</v>
      </c>
    </row>
    <row r="156" spans="1:14" x14ac:dyDescent="0.25">
      <c r="A156" s="6" t="s">
        <v>1612</v>
      </c>
      <c r="B156" s="7" t="s">
        <v>354</v>
      </c>
      <c r="C156" s="7" t="s">
        <v>355</v>
      </c>
      <c r="D156" s="7"/>
      <c r="E156" s="8">
        <v>2694.7</v>
      </c>
      <c r="F156" s="8">
        <v>3741.6</v>
      </c>
      <c r="G156" s="8">
        <v>4565</v>
      </c>
      <c r="H156" s="8">
        <v>6068.1</v>
      </c>
      <c r="I156" s="8">
        <v>7590</v>
      </c>
      <c r="J156" s="8">
        <v>8992.4</v>
      </c>
      <c r="K156" s="8">
        <v>13167</v>
      </c>
      <c r="L156" s="8">
        <v>14240.5</v>
      </c>
      <c r="M156" s="8">
        <v>15904.797933211697</v>
      </c>
      <c r="N156" s="8">
        <v>17657.893609346283</v>
      </c>
    </row>
    <row r="157" spans="1:14" x14ac:dyDescent="0.25">
      <c r="A157" s="6" t="s">
        <v>1613</v>
      </c>
      <c r="B157" s="7" t="s">
        <v>357</v>
      </c>
      <c r="C157" s="7" t="s">
        <v>358</v>
      </c>
      <c r="D157" s="7"/>
      <c r="E157" s="8">
        <v>-138.5</v>
      </c>
      <c r="F157" s="8">
        <v>-156</v>
      </c>
      <c r="G157" s="8">
        <v>-161.1</v>
      </c>
      <c r="H157" s="8">
        <v>-157.69999999999999</v>
      </c>
      <c r="I157" s="8">
        <v>-254.9</v>
      </c>
      <c r="J157" s="8">
        <v>-242.8</v>
      </c>
      <c r="K157" s="8">
        <v>-244.5</v>
      </c>
      <c r="L157" s="8">
        <v>-238.3</v>
      </c>
      <c r="M157" s="8">
        <v>-248.04</v>
      </c>
      <c r="N157" s="8">
        <v>-248.04</v>
      </c>
    </row>
    <row r="158" spans="1:14" x14ac:dyDescent="0.25">
      <c r="A158" s="6" t="s">
        <v>1614</v>
      </c>
      <c r="B158" s="7" t="s">
        <v>556</v>
      </c>
      <c r="C158" s="7" t="s">
        <v>555</v>
      </c>
      <c r="D158" s="7"/>
      <c r="E158" s="8">
        <v>1015.4</v>
      </c>
      <c r="F158" s="8">
        <v>1278.7</v>
      </c>
      <c r="G158" s="8">
        <v>1904.1</v>
      </c>
      <c r="H158" s="8">
        <v>2416.9</v>
      </c>
      <c r="I158" s="8">
        <v>4144</v>
      </c>
      <c r="J158" s="8">
        <v>5024.5</v>
      </c>
      <c r="K158" s="8">
        <v>6192.3</v>
      </c>
      <c r="L158" s="8">
        <v>7091.7</v>
      </c>
      <c r="M158" s="8">
        <v>7494.1532622111999</v>
      </c>
      <c r="N158" s="8">
        <v>7807.979382255251</v>
      </c>
    </row>
    <row r="159" spans="1:14" x14ac:dyDescent="0.25">
      <c r="A159" s="6" t="s">
        <v>1615</v>
      </c>
      <c r="B159" s="7" t="s">
        <v>351</v>
      </c>
      <c r="C159" s="7" t="s">
        <v>352</v>
      </c>
      <c r="D159" s="7"/>
      <c r="E159" s="8">
        <v>1384.4</v>
      </c>
      <c r="F159" s="8">
        <v>1623.3</v>
      </c>
      <c r="G159" s="8">
        <v>1438.1</v>
      </c>
      <c r="H159" s="8">
        <v>1700.4</v>
      </c>
      <c r="I159" s="8">
        <v>1969.3</v>
      </c>
      <c r="J159" s="8">
        <v>2274.4</v>
      </c>
      <c r="K159" s="8">
        <v>2613.4</v>
      </c>
      <c r="L159" s="8">
        <v>2768.4</v>
      </c>
      <c r="M159" s="8">
        <v>2792.6879974261315</v>
      </c>
      <c r="N159" s="8">
        <v>2981.2123270477109</v>
      </c>
    </row>
    <row r="160" spans="1:14" x14ac:dyDescent="0.25">
      <c r="A160" s="6" t="s">
        <v>1616</v>
      </c>
      <c r="B160" s="7" t="s">
        <v>303</v>
      </c>
      <c r="C160" s="7" t="s">
        <v>304</v>
      </c>
      <c r="D160" s="7"/>
      <c r="E160" s="8">
        <v>5323.7</v>
      </c>
      <c r="F160" s="8">
        <v>6488.1</v>
      </c>
      <c r="G160" s="8">
        <v>7237.1</v>
      </c>
      <c r="H160" s="8">
        <v>8502.6</v>
      </c>
      <c r="I160" s="8">
        <v>8292.5</v>
      </c>
      <c r="J160" s="8">
        <v>9363.2000000000007</v>
      </c>
      <c r="K160" s="8">
        <v>13055.3</v>
      </c>
      <c r="L160" s="8">
        <v>13697.2</v>
      </c>
      <c r="M160" s="8">
        <v>14483.406981339826</v>
      </c>
      <c r="N160" s="8">
        <v>15873.124118520202</v>
      </c>
    </row>
    <row r="161" spans="1:14" x14ac:dyDescent="0.25">
      <c r="A161" s="6"/>
      <c r="B161" s="7"/>
      <c r="C161" s="7"/>
      <c r="D161" s="7"/>
      <c r="E161" s="8"/>
      <c r="F161" s="8"/>
      <c r="G161" s="8"/>
      <c r="H161" s="8"/>
      <c r="I161" s="8"/>
      <c r="J161" s="8"/>
      <c r="K161" s="8"/>
      <c r="L161" s="8"/>
      <c r="M161" s="8"/>
      <c r="N161" s="8"/>
    </row>
    <row r="162" spans="1:14" x14ac:dyDescent="0.25">
      <c r="A162" s="6" t="s">
        <v>1617</v>
      </c>
      <c r="B162" s="7"/>
      <c r="C162" s="7"/>
      <c r="D162" s="7"/>
      <c r="E162" s="8"/>
      <c r="F162" s="8"/>
      <c r="G162" s="8"/>
      <c r="H162" s="8"/>
      <c r="I162" s="8"/>
      <c r="J162" s="8"/>
      <c r="K162" s="8"/>
      <c r="L162" s="8"/>
      <c r="M162" s="8"/>
      <c r="N162" s="8"/>
    </row>
    <row r="163" spans="1:14" x14ac:dyDescent="0.25">
      <c r="A163" s="6" t="s">
        <v>1618</v>
      </c>
      <c r="B163" s="7" t="s">
        <v>362</v>
      </c>
      <c r="C163" s="7" t="s">
        <v>363</v>
      </c>
      <c r="D163" s="7"/>
      <c r="E163" s="8">
        <v>593.79999999999995</v>
      </c>
      <c r="F163" s="8">
        <v>594.4</v>
      </c>
      <c r="G163" s="8">
        <v>595</v>
      </c>
      <c r="H163" s="8">
        <v>595.70000000000005</v>
      </c>
      <c r="I163" s="8">
        <v>596.29999999999995</v>
      </c>
      <c r="J163" s="8">
        <v>597</v>
      </c>
      <c r="K163" s="8">
        <v>597.70000000000005</v>
      </c>
      <c r="L163" s="8">
        <v>598.29999999999995</v>
      </c>
      <c r="M163" s="8">
        <v>603.57500000000005</v>
      </c>
      <c r="N163" s="8">
        <v>519.86666666666667</v>
      </c>
    </row>
    <row r="164" spans="1:14" x14ac:dyDescent="0.25">
      <c r="A164" s="6" t="s">
        <v>1619</v>
      </c>
      <c r="B164" s="7" t="s">
        <v>1282</v>
      </c>
      <c r="C164" s="7" t="s">
        <v>1281</v>
      </c>
      <c r="D164" s="7"/>
      <c r="E164" s="8">
        <v>-437.3</v>
      </c>
      <c r="F164" s="8">
        <v>-10</v>
      </c>
      <c r="G164" s="8">
        <v>-0.8</v>
      </c>
      <c r="H164" s="8">
        <v>-1.8</v>
      </c>
      <c r="I164" s="8">
        <v>-0.2</v>
      </c>
      <c r="J164" s="8">
        <v>0</v>
      </c>
      <c r="K164" s="8">
        <v>0</v>
      </c>
      <c r="L164" s="8">
        <v>0</v>
      </c>
      <c r="M164" s="8" t="s">
        <v>1483</v>
      </c>
      <c r="N164" s="8" t="s">
        <v>1483</v>
      </c>
    </row>
    <row r="165" spans="1:14" x14ac:dyDescent="0.25">
      <c r="A165" s="6" t="s">
        <v>1620</v>
      </c>
      <c r="B165" s="7" t="s">
        <v>1426</v>
      </c>
      <c r="C165" s="7" t="s">
        <v>1425</v>
      </c>
      <c r="D165" s="7"/>
      <c r="E165" s="8">
        <v>1462.8</v>
      </c>
      <c r="F165" s="8">
        <v>2102.4</v>
      </c>
      <c r="G165" s="8">
        <v>2204.1999999999998</v>
      </c>
      <c r="H165" s="8">
        <v>3301</v>
      </c>
      <c r="I165" s="8">
        <v>2454.3000000000002</v>
      </c>
      <c r="J165" s="8">
        <v>2216.6999999999998</v>
      </c>
      <c r="K165" s="8">
        <v>4283.8</v>
      </c>
      <c r="L165" s="8">
        <v>4504.8999999999996</v>
      </c>
      <c r="M165" s="8">
        <v>5036.9918134775953</v>
      </c>
      <c r="N165" s="8">
        <v>6114.8498790616168</v>
      </c>
    </row>
    <row r="166" spans="1:14" x14ac:dyDescent="0.25">
      <c r="A166" s="6"/>
      <c r="B166" s="7"/>
      <c r="C166" s="7"/>
      <c r="D166" s="7"/>
      <c r="E166" s="8"/>
      <c r="F166" s="8"/>
      <c r="G166" s="8"/>
      <c r="H166" s="8"/>
      <c r="I166" s="8"/>
      <c r="J166" s="8"/>
      <c r="K166" s="8"/>
      <c r="L166" s="8"/>
      <c r="M166" s="8"/>
      <c r="N166" s="8"/>
    </row>
    <row r="167" spans="1:14" x14ac:dyDescent="0.25">
      <c r="A167" s="6" t="s">
        <v>1621</v>
      </c>
      <c r="B167" s="7" t="s">
        <v>378</v>
      </c>
      <c r="C167" s="7" t="s">
        <v>379</v>
      </c>
      <c r="D167" s="7"/>
      <c r="E167" s="8">
        <v>13.142737554708328</v>
      </c>
      <c r="F167" s="8">
        <v>17.726341455155019</v>
      </c>
      <c r="G167" s="8">
        <v>11.998367965494127</v>
      </c>
      <c r="H167" s="8">
        <v>19.099474577024974</v>
      </c>
      <c r="I167" s="8">
        <v>18.123143059582855</v>
      </c>
      <c r="J167" s="8">
        <v>15.88608777901754</v>
      </c>
      <c r="K167" s="8">
        <v>37.24245600731539</v>
      </c>
      <c r="L167" s="8">
        <v>8.0254181852163349</v>
      </c>
      <c r="M167" s="8">
        <v>12.83252571985974</v>
      </c>
      <c r="N167" s="8">
        <v>13.450125058017392</v>
      </c>
    </row>
    <row r="168" spans="1:14" x14ac:dyDescent="0.25">
      <c r="A168" s="6" t="s">
        <v>1622</v>
      </c>
      <c r="B168" s="7" t="s">
        <v>381</v>
      </c>
      <c r="C168" s="7" t="s">
        <v>382</v>
      </c>
      <c r="D168" s="7"/>
      <c r="E168" s="8">
        <v>23.691893842469579</v>
      </c>
      <c r="F168" s="8">
        <v>28.726659075006523</v>
      </c>
      <c r="G168" s="8">
        <v>18.879691835003324</v>
      </c>
      <c r="H168" s="8">
        <v>28.877447119171578</v>
      </c>
      <c r="I168" s="8">
        <v>26.14364489031659</v>
      </c>
      <c r="J168" s="8">
        <v>22.516396798510037</v>
      </c>
      <c r="K168" s="8">
        <v>50.1501645803801</v>
      </c>
      <c r="L168" s="8">
        <v>10.557631785995278</v>
      </c>
      <c r="M168" s="8">
        <v>15.274500621781879</v>
      </c>
      <c r="N168" s="8">
        <v>15.631907835492225</v>
      </c>
    </row>
    <row r="169" spans="1:14" x14ac:dyDescent="0.25">
      <c r="A169" s="6" t="s">
        <v>1623</v>
      </c>
      <c r="B169" s="7" t="s">
        <v>371</v>
      </c>
      <c r="C169" s="7" t="s">
        <v>372</v>
      </c>
      <c r="D169" s="7"/>
      <c r="E169" s="8">
        <v>2.6088295687885008</v>
      </c>
      <c r="F169" s="8">
        <v>3.3067375886524824</v>
      </c>
      <c r="G169" s="8">
        <v>3.4578811947645152</v>
      </c>
      <c r="H169" s="8">
        <v>3.0811779521456941</v>
      </c>
      <c r="I169" s="8">
        <v>3.0279733959311423</v>
      </c>
      <c r="J169" s="8">
        <v>3.3760247615860801</v>
      </c>
      <c r="K169" s="8">
        <v>4.1757905926122776</v>
      </c>
      <c r="L169" s="8">
        <v>3.7155538402161326</v>
      </c>
      <c r="M169" s="8">
        <v>5.7137203523422864</v>
      </c>
      <c r="N169" s="8">
        <v>6.7438571133268344</v>
      </c>
    </row>
    <row r="170" spans="1:14" x14ac:dyDescent="0.25">
      <c r="A170" s="6" t="s">
        <v>1624</v>
      </c>
      <c r="B170" s="7" t="s">
        <v>1424</v>
      </c>
      <c r="C170" s="7" t="s">
        <v>1423</v>
      </c>
      <c r="D170" s="7"/>
      <c r="E170" s="8">
        <v>5.0399614829080397</v>
      </c>
      <c r="F170" s="8">
        <v>6.6129443647377641</v>
      </c>
      <c r="G170" s="8">
        <v>7.3270863366971</v>
      </c>
      <c r="H170" s="8">
        <v>9.3509053036372389</v>
      </c>
      <c r="I170" s="8">
        <v>9.5457833305934585</v>
      </c>
      <c r="J170" s="8">
        <v>11.063051073032772</v>
      </c>
      <c r="K170" s="8">
        <v>16.986748216106012</v>
      </c>
      <c r="L170" s="8">
        <v>17.801963147924919</v>
      </c>
      <c r="M170" s="8">
        <v>17.546395622862327</v>
      </c>
      <c r="N170" s="8">
        <v>17.68230178162576</v>
      </c>
    </row>
    <row r="171" spans="1:14" x14ac:dyDescent="0.25">
      <c r="A171" s="6"/>
      <c r="B171" s="7"/>
      <c r="C171" s="7"/>
      <c r="D171" s="7"/>
      <c r="E171" s="8"/>
      <c r="F171" s="8"/>
      <c r="G171" s="8"/>
      <c r="H171" s="8"/>
      <c r="I171" s="8"/>
      <c r="J171" s="8"/>
      <c r="K171" s="8"/>
      <c r="L171" s="8"/>
      <c r="M171" s="8"/>
      <c r="N171" s="8"/>
    </row>
    <row r="172" spans="1:14" x14ac:dyDescent="0.25">
      <c r="A172" s="6" t="s">
        <v>1625</v>
      </c>
      <c r="B172" s="7"/>
      <c r="C172" s="7"/>
      <c r="D172" s="7"/>
      <c r="E172" s="8"/>
      <c r="F172" s="8"/>
      <c r="G172" s="8"/>
      <c r="H172" s="8"/>
      <c r="I172" s="8"/>
      <c r="J172" s="8"/>
      <c r="K172" s="8"/>
      <c r="L172" s="8"/>
      <c r="M172" s="8"/>
      <c r="N172" s="8"/>
    </row>
    <row r="173" spans="1:14" x14ac:dyDescent="0.25">
      <c r="A173" s="6" t="s">
        <v>1626</v>
      </c>
      <c r="B173" s="7"/>
      <c r="C173" s="7"/>
      <c r="D173" s="7"/>
      <c r="E173" s="8"/>
      <c r="F173" s="8"/>
      <c r="G173" s="8"/>
      <c r="H173" s="8"/>
      <c r="I173" s="8"/>
      <c r="J173" s="8"/>
      <c r="K173" s="8"/>
      <c r="L173" s="8"/>
      <c r="M173" s="8"/>
      <c r="N173" s="8"/>
    </row>
    <row r="174" spans="1:14" x14ac:dyDescent="0.25">
      <c r="A174" s="6" t="s">
        <v>1567</v>
      </c>
      <c r="B174" s="7" t="s">
        <v>53</v>
      </c>
      <c r="C174" s="7" t="s">
        <v>54</v>
      </c>
      <c r="D174" s="7"/>
      <c r="E174" s="8">
        <v>1004.3</v>
      </c>
      <c r="F174" s="8">
        <v>1182.9000000000001</v>
      </c>
      <c r="G174" s="8">
        <v>1173.9000000000001</v>
      </c>
      <c r="H174" s="8">
        <v>1403.9</v>
      </c>
      <c r="I174" s="8">
        <v>1550.6</v>
      </c>
      <c r="J174" s="8">
        <v>1530.9</v>
      </c>
      <c r="K174" s="8">
        <v>1455.2</v>
      </c>
      <c r="L174" s="8">
        <v>1498.2</v>
      </c>
      <c r="M174" s="8">
        <v>1725.5925925925924</v>
      </c>
      <c r="N174" s="8">
        <v>1922.6785714285716</v>
      </c>
    </row>
    <row r="175" spans="1:14" x14ac:dyDescent="0.25">
      <c r="A175" s="6" t="s">
        <v>1557</v>
      </c>
      <c r="B175" s="7" t="s">
        <v>168</v>
      </c>
      <c r="C175" s="7" t="s">
        <v>169</v>
      </c>
      <c r="D175" s="7"/>
      <c r="E175" s="8">
        <v>77.400000000000006</v>
      </c>
      <c r="F175" s="8">
        <v>89.3</v>
      </c>
      <c r="G175" s="8">
        <v>107.2</v>
      </c>
      <c r="H175" s="8">
        <v>134.80000000000001</v>
      </c>
      <c r="I175" s="8">
        <v>139.6</v>
      </c>
      <c r="J175" s="8">
        <v>144.9</v>
      </c>
      <c r="K175" s="8">
        <v>155.19999999999999</v>
      </c>
      <c r="L175" s="8">
        <v>156.6</v>
      </c>
      <c r="M175" s="8">
        <v>175.74435036133565</v>
      </c>
      <c r="N175" s="8">
        <v>187.77777422334924</v>
      </c>
    </row>
    <row r="176" spans="1:14" x14ac:dyDescent="0.25">
      <c r="A176" s="6" t="s">
        <v>1627</v>
      </c>
      <c r="B176" s="7" t="s">
        <v>624</v>
      </c>
      <c r="C176" s="7" t="s">
        <v>623</v>
      </c>
      <c r="D176" s="7"/>
      <c r="E176" s="8">
        <v>74.900000000000006</v>
      </c>
      <c r="F176" s="8">
        <v>84.7</v>
      </c>
      <c r="G176" s="8">
        <v>101.8</v>
      </c>
      <c r="H176" s="8">
        <v>127.1</v>
      </c>
      <c r="I176" s="8">
        <v>133.9</v>
      </c>
      <c r="J176" s="8">
        <v>143.5</v>
      </c>
      <c r="K176" s="8">
        <v>150.80000000000001</v>
      </c>
      <c r="L176" s="8">
        <v>149.30000000000001</v>
      </c>
      <c r="M176" s="8">
        <v>164.68614676830515</v>
      </c>
      <c r="N176" s="8">
        <v>176.15470917765052</v>
      </c>
    </row>
    <row r="177" spans="1:14" x14ac:dyDescent="0.25">
      <c r="A177" s="6" t="s">
        <v>1628</v>
      </c>
      <c r="B177" s="7" t="s">
        <v>174</v>
      </c>
      <c r="C177" s="7" t="s">
        <v>175</v>
      </c>
      <c r="D177" s="7"/>
      <c r="E177" s="8">
        <v>2.5</v>
      </c>
      <c r="F177" s="8">
        <v>4.5999999999999996</v>
      </c>
      <c r="G177" s="8">
        <v>5.4</v>
      </c>
      <c r="H177" s="8">
        <v>7.7</v>
      </c>
      <c r="I177" s="8">
        <v>5.7</v>
      </c>
      <c r="J177" s="8">
        <v>1.4</v>
      </c>
      <c r="K177" s="8">
        <v>4.4000000000000004</v>
      </c>
      <c r="L177" s="8">
        <v>7.3</v>
      </c>
      <c r="M177" s="8">
        <v>8.6231428571428559</v>
      </c>
      <c r="N177" s="8">
        <v>8.7320885714285712</v>
      </c>
    </row>
    <row r="178" spans="1:14" x14ac:dyDescent="0.25">
      <c r="A178" s="6" t="s">
        <v>1629</v>
      </c>
      <c r="B178" s="7" t="s">
        <v>1087</v>
      </c>
      <c r="C178" s="7" t="s">
        <v>1086</v>
      </c>
      <c r="D178" s="7"/>
      <c r="E178" s="8">
        <v>71</v>
      </c>
      <c r="F178" s="8">
        <v>81.3</v>
      </c>
      <c r="G178" s="8">
        <v>92.6</v>
      </c>
      <c r="H178" s="8">
        <v>109.3</v>
      </c>
      <c r="I178" s="8">
        <v>126.8</v>
      </c>
      <c r="J178" s="8">
        <v>139.4</v>
      </c>
      <c r="K178" s="8">
        <v>162.30000000000001</v>
      </c>
      <c r="L178" s="8">
        <v>158.1</v>
      </c>
      <c r="M178" s="8">
        <v>157.33398261472007</v>
      </c>
      <c r="N178" s="8">
        <v>171.66568157512509</v>
      </c>
    </row>
    <row r="179" spans="1:14" x14ac:dyDescent="0.25">
      <c r="A179" s="6" t="s">
        <v>1630</v>
      </c>
      <c r="B179" s="7" t="s">
        <v>399</v>
      </c>
      <c r="C179" s="7" t="s">
        <v>400</v>
      </c>
      <c r="D179" s="7"/>
      <c r="E179" s="8">
        <v>-27.3</v>
      </c>
      <c r="F179" s="8">
        <v>12.1</v>
      </c>
      <c r="G179" s="8">
        <v>-49.4</v>
      </c>
      <c r="H179" s="8">
        <v>-41.4</v>
      </c>
      <c r="I179" s="8">
        <v>-254.5</v>
      </c>
      <c r="J179" s="8">
        <v>-272.10000000000002</v>
      </c>
      <c r="K179" s="8">
        <v>-323.39999999999998</v>
      </c>
      <c r="L179" s="8">
        <v>-117.6</v>
      </c>
      <c r="M179" s="8">
        <v>-141.18278714841136</v>
      </c>
      <c r="N179" s="8">
        <v>-63.001607617392175</v>
      </c>
    </row>
    <row r="180" spans="1:14" x14ac:dyDescent="0.25">
      <c r="A180" s="6" t="s">
        <v>1631</v>
      </c>
      <c r="B180" s="7"/>
      <c r="C180" s="7"/>
      <c r="D180" s="7"/>
      <c r="E180" s="8"/>
      <c r="F180" s="8"/>
      <c r="G180" s="8"/>
      <c r="H180" s="8"/>
      <c r="I180" s="8"/>
      <c r="J180" s="8"/>
      <c r="K180" s="8"/>
      <c r="L180" s="8"/>
      <c r="M180" s="8"/>
      <c r="N180" s="8"/>
    </row>
    <row r="181" spans="1:14" x14ac:dyDescent="0.25">
      <c r="A181" s="6" t="s">
        <v>1584</v>
      </c>
      <c r="B181" s="7" t="s">
        <v>1422</v>
      </c>
      <c r="C181" s="7" t="s">
        <v>1421</v>
      </c>
      <c r="D181" s="7"/>
      <c r="E181" s="8">
        <v>-28.7</v>
      </c>
      <c r="F181" s="8">
        <v>-88</v>
      </c>
      <c r="G181" s="8">
        <v>41.9</v>
      </c>
      <c r="H181" s="8">
        <v>-91.1</v>
      </c>
      <c r="I181" s="8">
        <v>-84.1</v>
      </c>
      <c r="J181" s="8">
        <v>-141.19999999999999</v>
      </c>
      <c r="K181" s="8">
        <v>121.2</v>
      </c>
      <c r="L181" s="8">
        <v>-23</v>
      </c>
      <c r="M181" s="8">
        <v>-91.945423888041404</v>
      </c>
      <c r="N181" s="8">
        <v>-80.65292227680645</v>
      </c>
    </row>
    <row r="182" spans="1:14" x14ac:dyDescent="0.25">
      <c r="A182" s="6" t="s">
        <v>1585</v>
      </c>
      <c r="B182" s="7" t="s">
        <v>406</v>
      </c>
      <c r="C182" s="7" t="s">
        <v>407</v>
      </c>
      <c r="D182" s="7"/>
      <c r="E182" s="8">
        <v>-65.7</v>
      </c>
      <c r="F182" s="8">
        <v>-105.4</v>
      </c>
      <c r="G182" s="8">
        <v>-120.6</v>
      </c>
      <c r="H182" s="8">
        <v>19</v>
      </c>
      <c r="I182" s="8">
        <v>-213.4</v>
      </c>
      <c r="J182" s="8">
        <v>-289</v>
      </c>
      <c r="K182" s="8">
        <v>-256.10000000000002</v>
      </c>
      <c r="L182" s="8">
        <v>50.7</v>
      </c>
      <c r="M182" s="8">
        <v>-109.00728379660077</v>
      </c>
      <c r="N182" s="8">
        <v>-137.53820764901576</v>
      </c>
    </row>
    <row r="183" spans="1:14" x14ac:dyDescent="0.25">
      <c r="A183" s="6" t="s">
        <v>1587</v>
      </c>
      <c r="B183" s="7" t="s">
        <v>1079</v>
      </c>
      <c r="C183" s="7" t="s">
        <v>1078</v>
      </c>
      <c r="D183" s="7"/>
      <c r="E183" s="8">
        <v>15.7</v>
      </c>
      <c r="F183" s="8">
        <v>-6.8</v>
      </c>
      <c r="G183" s="8">
        <v>-28.5</v>
      </c>
      <c r="H183" s="8">
        <v>7.9</v>
      </c>
      <c r="I183" s="8">
        <v>0.1</v>
      </c>
      <c r="J183" s="8">
        <v>-191.7</v>
      </c>
      <c r="K183" s="8">
        <v>31</v>
      </c>
      <c r="L183" s="8">
        <v>-15.4</v>
      </c>
      <c r="M183" s="8">
        <v>-28.204343924029644</v>
      </c>
      <c r="N183" s="8">
        <v>7.051136027263297</v>
      </c>
    </row>
    <row r="184" spans="1:14" x14ac:dyDescent="0.25">
      <c r="A184" s="6" t="s">
        <v>1632</v>
      </c>
      <c r="B184" s="7" t="s">
        <v>419</v>
      </c>
      <c r="C184" s="7" t="s">
        <v>420</v>
      </c>
      <c r="D184" s="7"/>
      <c r="E184" s="8">
        <v>1.4</v>
      </c>
      <c r="F184" s="8">
        <v>-160.30000000000001</v>
      </c>
      <c r="G184" s="8">
        <v>286.8</v>
      </c>
      <c r="H184" s="8">
        <v>-29.2</v>
      </c>
      <c r="I184" s="8">
        <v>-45</v>
      </c>
      <c r="J184" s="8">
        <v>-44.6</v>
      </c>
      <c r="K184" s="8">
        <v>-58.2</v>
      </c>
      <c r="L184" s="8">
        <v>-76.5</v>
      </c>
      <c r="M184" s="8" t="s">
        <v>1483</v>
      </c>
      <c r="N184" s="8" t="s">
        <v>1483</v>
      </c>
    </row>
    <row r="185" spans="1:14" x14ac:dyDescent="0.25">
      <c r="A185" s="6" t="s">
        <v>1603</v>
      </c>
      <c r="B185" s="7" t="s">
        <v>1076</v>
      </c>
      <c r="C185" s="7" t="s">
        <v>1075</v>
      </c>
      <c r="D185" s="7"/>
      <c r="E185" s="8">
        <v>192.5</v>
      </c>
      <c r="F185" s="8">
        <v>116.5</v>
      </c>
      <c r="G185" s="8">
        <v>-84.5</v>
      </c>
      <c r="H185" s="8">
        <v>195.2</v>
      </c>
      <c r="I185" s="8">
        <v>-21.4</v>
      </c>
      <c r="J185" s="8">
        <v>146</v>
      </c>
      <c r="K185" s="8">
        <v>89.5</v>
      </c>
      <c r="L185" s="8">
        <v>395.1</v>
      </c>
      <c r="M185" s="8">
        <v>109.13597245180004</v>
      </c>
      <c r="N185" s="8">
        <v>129.79235219025313</v>
      </c>
    </row>
    <row r="186" spans="1:14" x14ac:dyDescent="0.25">
      <c r="A186" s="6" t="s">
        <v>1633</v>
      </c>
      <c r="B186" s="7" t="s">
        <v>412</v>
      </c>
      <c r="C186" s="7" t="s">
        <v>413</v>
      </c>
      <c r="D186" s="7"/>
      <c r="E186" s="8">
        <v>-157.80000000000001</v>
      </c>
      <c r="F186" s="8">
        <v>43.2</v>
      </c>
      <c r="G186" s="8">
        <v>-52.9</v>
      </c>
      <c r="H186" s="8">
        <v>62</v>
      </c>
      <c r="I186" s="8">
        <v>-5.6</v>
      </c>
      <c r="J186" s="8">
        <v>-5.8</v>
      </c>
      <c r="K186" s="8">
        <v>-186.7</v>
      </c>
      <c r="L186" s="8">
        <v>-141.80000000000001</v>
      </c>
      <c r="M186" s="8">
        <v>37.422923962193408</v>
      </c>
      <c r="N186" s="8">
        <v>-70.823772179042962</v>
      </c>
    </row>
    <row r="187" spans="1:14" x14ac:dyDescent="0.25">
      <c r="A187" s="6" t="s">
        <v>1634</v>
      </c>
      <c r="B187" s="7" t="s">
        <v>1287</v>
      </c>
      <c r="C187" s="7" t="s">
        <v>1286</v>
      </c>
      <c r="D187" s="7"/>
      <c r="E187" s="8">
        <v>926.8</v>
      </c>
      <c r="F187" s="8">
        <v>1182.9000000000001</v>
      </c>
      <c r="G187" s="8">
        <v>1054</v>
      </c>
      <c r="H187" s="8">
        <v>1732.1</v>
      </c>
      <c r="I187" s="8">
        <v>1218.2</v>
      </c>
      <c r="J187" s="8">
        <v>895.8</v>
      </c>
      <c r="K187" s="8">
        <v>542.29999999999995</v>
      </c>
      <c r="L187" s="8">
        <v>1595.2</v>
      </c>
      <c r="M187" s="8">
        <v>1766.3641542217233</v>
      </c>
      <c r="N187" s="8">
        <v>1953.4426966466453</v>
      </c>
    </row>
    <row r="188" spans="1:14" x14ac:dyDescent="0.25">
      <c r="A188" s="6"/>
      <c r="B188" s="7"/>
      <c r="C188" s="7"/>
      <c r="D188" s="7"/>
      <c r="E188" s="8"/>
      <c r="F188" s="8"/>
      <c r="G188" s="8"/>
      <c r="H188" s="8"/>
      <c r="I188" s="8"/>
      <c r="J188" s="8"/>
      <c r="K188" s="8"/>
      <c r="L188" s="8"/>
      <c r="M188" s="8"/>
      <c r="N188" s="8"/>
    </row>
    <row r="189" spans="1:14" x14ac:dyDescent="0.25">
      <c r="A189" s="6" t="s">
        <v>1635</v>
      </c>
      <c r="B189" s="7"/>
      <c r="C189" s="7"/>
      <c r="D189" s="7"/>
      <c r="E189" s="8"/>
      <c r="F189" s="8"/>
      <c r="G189" s="8"/>
      <c r="H189" s="8"/>
      <c r="I189" s="8"/>
      <c r="J189" s="8"/>
      <c r="K189" s="8"/>
      <c r="L189" s="8"/>
      <c r="M189" s="8"/>
      <c r="N189" s="8"/>
    </row>
    <row r="190" spans="1:14" x14ac:dyDescent="0.25">
      <c r="A190" s="6" t="s">
        <v>1636</v>
      </c>
      <c r="B190" s="7" t="s">
        <v>426</v>
      </c>
      <c r="C190" s="7" t="s">
        <v>427</v>
      </c>
      <c r="D190" s="7"/>
      <c r="E190" s="8">
        <v>-238.7</v>
      </c>
      <c r="F190" s="8">
        <v>-254.4</v>
      </c>
      <c r="G190" s="8">
        <v>-407</v>
      </c>
      <c r="H190" s="8">
        <v>-325.8</v>
      </c>
      <c r="I190" s="8">
        <v>-244.6</v>
      </c>
      <c r="J190" s="8">
        <v>-253</v>
      </c>
      <c r="K190" s="8">
        <v>-252.4</v>
      </c>
      <c r="L190" s="8">
        <v>-260.2</v>
      </c>
      <c r="M190" s="8">
        <v>-277.1764705882353</v>
      </c>
      <c r="N190" s="8">
        <v>-293.16666666666669</v>
      </c>
    </row>
    <row r="191" spans="1:14" x14ac:dyDescent="0.25">
      <c r="A191" s="6" t="s">
        <v>1549</v>
      </c>
      <c r="B191" s="7" t="s">
        <v>428</v>
      </c>
      <c r="C191" s="7" t="s">
        <v>429</v>
      </c>
      <c r="D191" s="7"/>
      <c r="E191" s="8">
        <v>6.4118405501235625</v>
      </c>
      <c r="F191" s="8">
        <v>5.8509659613615455</v>
      </c>
      <c r="G191" s="8">
        <v>9.2788910927205155</v>
      </c>
      <c r="H191" s="8">
        <v>6.2264691829909218</v>
      </c>
      <c r="I191" s="8">
        <v>4.5444411414982167</v>
      </c>
      <c r="J191" s="8">
        <v>5.0499001996007991</v>
      </c>
      <c r="K191" s="8">
        <v>4.6401323651070872</v>
      </c>
      <c r="L191" s="8">
        <v>4.2883512426659633</v>
      </c>
      <c r="M191" s="8">
        <v>4.235728792359482</v>
      </c>
      <c r="N191" s="8">
        <v>4.1347928418754778</v>
      </c>
    </row>
    <row r="192" spans="1:14" x14ac:dyDescent="0.25">
      <c r="A192" s="6" t="s">
        <v>1637</v>
      </c>
      <c r="B192" s="7" t="s">
        <v>431</v>
      </c>
      <c r="C192" s="7" t="s">
        <v>432</v>
      </c>
      <c r="D192" s="7"/>
      <c r="E192" s="8">
        <v>0</v>
      </c>
      <c r="F192" s="8">
        <v>-100.2</v>
      </c>
      <c r="G192" s="8">
        <v>0</v>
      </c>
      <c r="H192" s="8">
        <v>0</v>
      </c>
      <c r="I192" s="8">
        <v>-109.6</v>
      </c>
      <c r="J192" s="8">
        <v>-30</v>
      </c>
      <c r="K192" s="8">
        <v>-46.2</v>
      </c>
      <c r="L192" s="8">
        <v>-25.1</v>
      </c>
      <c r="M192" s="8" t="s">
        <v>1483</v>
      </c>
      <c r="N192" s="8" t="s">
        <v>1483</v>
      </c>
    </row>
    <row r="193" spans="1:14" x14ac:dyDescent="0.25">
      <c r="A193" s="6" t="s">
        <v>1638</v>
      </c>
      <c r="B193" s="7" t="s">
        <v>1420</v>
      </c>
      <c r="C193" s="7" t="s">
        <v>1419</v>
      </c>
      <c r="D193" s="7"/>
      <c r="E193" s="8">
        <v>318.39999999999998</v>
      </c>
      <c r="F193" s="8">
        <v>-217.2</v>
      </c>
      <c r="G193" s="8">
        <v>-124.1</v>
      </c>
      <c r="H193" s="8">
        <v>-1396.7</v>
      </c>
      <c r="I193" s="8">
        <v>606.5</v>
      </c>
      <c r="J193" s="8">
        <v>456.8</v>
      </c>
      <c r="K193" s="8">
        <v>2611.5</v>
      </c>
      <c r="L193" s="8">
        <v>-427.6</v>
      </c>
      <c r="M193" s="8" t="s">
        <v>1483</v>
      </c>
      <c r="N193" s="8" t="s">
        <v>1483</v>
      </c>
    </row>
    <row r="194" spans="1:14" x14ac:dyDescent="0.25">
      <c r="A194" s="6" t="s">
        <v>1639</v>
      </c>
      <c r="B194" s="7" t="s">
        <v>1418</v>
      </c>
      <c r="C194" s="7" t="s">
        <v>1417</v>
      </c>
      <c r="D194" s="7"/>
      <c r="E194" s="8">
        <v>76.7</v>
      </c>
      <c r="F194" s="8">
        <v>-595.79999999999995</v>
      </c>
      <c r="G194" s="8">
        <v>-531.1</v>
      </c>
      <c r="H194" s="8">
        <v>-1722.5</v>
      </c>
      <c r="I194" s="8">
        <v>252.3</v>
      </c>
      <c r="J194" s="8">
        <v>173.8</v>
      </c>
      <c r="K194" s="8">
        <v>2312.9</v>
      </c>
      <c r="L194" s="8">
        <v>-712.9</v>
      </c>
      <c r="M194" s="8">
        <v>-333.87719707216229</v>
      </c>
      <c r="N194" s="8">
        <v>-345.37511548665253</v>
      </c>
    </row>
    <row r="195" spans="1:14" x14ac:dyDescent="0.25">
      <c r="A195" s="6"/>
      <c r="B195" s="7"/>
      <c r="C195" s="7"/>
      <c r="D195" s="7"/>
      <c r="E195" s="8"/>
      <c r="F195" s="8"/>
      <c r="G195" s="8"/>
      <c r="H195" s="8"/>
      <c r="I195" s="8"/>
      <c r="J195" s="8"/>
      <c r="K195" s="8"/>
      <c r="L195" s="8"/>
      <c r="M195" s="8"/>
      <c r="N195" s="8"/>
    </row>
    <row r="196" spans="1:14" x14ac:dyDescent="0.25">
      <c r="A196" s="6" t="s">
        <v>1640</v>
      </c>
      <c r="B196" s="7"/>
      <c r="C196" s="7"/>
      <c r="D196" s="7"/>
      <c r="E196" s="8"/>
      <c r="F196" s="8"/>
      <c r="G196" s="8"/>
      <c r="H196" s="8"/>
      <c r="I196" s="8"/>
      <c r="J196" s="8"/>
      <c r="K196" s="8"/>
      <c r="L196" s="8"/>
      <c r="M196" s="8"/>
      <c r="N196" s="8"/>
    </row>
    <row r="197" spans="1:14" x14ac:dyDescent="0.25">
      <c r="A197" s="6" t="s">
        <v>1641</v>
      </c>
      <c r="B197" s="7" t="s">
        <v>459</v>
      </c>
      <c r="C197" s="7" t="s">
        <v>460</v>
      </c>
      <c r="D197" s="7"/>
      <c r="E197" s="8">
        <v>-437.3</v>
      </c>
      <c r="F197" s="8">
        <v>-10</v>
      </c>
      <c r="G197" s="8">
        <v>-0.8</v>
      </c>
      <c r="H197" s="8">
        <v>-1.8</v>
      </c>
      <c r="I197" s="8">
        <v>-0.2</v>
      </c>
      <c r="J197" s="8">
        <v>0</v>
      </c>
      <c r="K197" s="8">
        <v>0</v>
      </c>
      <c r="L197" s="8">
        <v>0</v>
      </c>
      <c r="M197" s="8" t="s">
        <v>1483</v>
      </c>
      <c r="N197" s="8" t="s">
        <v>1483</v>
      </c>
    </row>
    <row r="198" spans="1:14" x14ac:dyDescent="0.25">
      <c r="A198" s="6" t="s">
        <v>1642</v>
      </c>
      <c r="B198" s="7" t="s">
        <v>462</v>
      </c>
      <c r="C198" s="7" t="s">
        <v>463</v>
      </c>
      <c r="D198" s="7"/>
      <c r="E198" s="8">
        <v>688</v>
      </c>
      <c r="F198" s="8">
        <v>18.899999999999999</v>
      </c>
      <c r="G198" s="8">
        <v>16.2</v>
      </c>
      <c r="H198" s="8">
        <v>5.2</v>
      </c>
      <c r="I198" s="8">
        <v>0</v>
      </c>
      <c r="J198" s="8">
        <v>0</v>
      </c>
      <c r="K198" s="8">
        <v>0</v>
      </c>
      <c r="L198" s="8">
        <v>0</v>
      </c>
      <c r="M198" s="8" t="s">
        <v>1483</v>
      </c>
      <c r="N198" s="8" t="s">
        <v>1483</v>
      </c>
    </row>
    <row r="199" spans="1:14" x14ac:dyDescent="0.25">
      <c r="A199" s="6" t="s">
        <v>1643</v>
      </c>
      <c r="B199" s="7" t="s">
        <v>450</v>
      </c>
      <c r="C199" s="7" t="s">
        <v>451</v>
      </c>
      <c r="D199" s="7"/>
      <c r="E199" s="8">
        <v>-1125.3</v>
      </c>
      <c r="F199" s="8">
        <v>-28.9</v>
      </c>
      <c r="G199" s="8">
        <v>-17</v>
      </c>
      <c r="H199" s="8">
        <v>-7</v>
      </c>
      <c r="I199" s="8">
        <v>-0.2</v>
      </c>
      <c r="J199" s="8">
        <v>0</v>
      </c>
      <c r="K199" s="8">
        <v>0</v>
      </c>
      <c r="L199" s="8">
        <v>0</v>
      </c>
      <c r="M199" s="8" t="s">
        <v>1483</v>
      </c>
      <c r="N199" s="8">
        <v>-750</v>
      </c>
    </row>
    <row r="200" spans="1:14" x14ac:dyDescent="0.25">
      <c r="A200" s="6" t="s">
        <v>1644</v>
      </c>
      <c r="B200" s="7" t="s">
        <v>505</v>
      </c>
      <c r="C200" s="7" t="s">
        <v>504</v>
      </c>
      <c r="D200" s="7"/>
      <c r="E200" s="8">
        <v>-795.5</v>
      </c>
      <c r="F200" s="8">
        <v>-263.3</v>
      </c>
      <c r="G200" s="8">
        <v>-625.4</v>
      </c>
      <c r="H200" s="8">
        <v>-512.79999999999995</v>
      </c>
      <c r="I200" s="8">
        <v>-1727.1</v>
      </c>
      <c r="J200" s="8">
        <v>-879.6</v>
      </c>
      <c r="K200" s="8">
        <v>-1159.4000000000001</v>
      </c>
      <c r="L200" s="8">
        <v>-893.4</v>
      </c>
      <c r="M200" s="8">
        <v>-689.55348091516282</v>
      </c>
      <c r="N200" s="8">
        <v>-638.99312485541611</v>
      </c>
    </row>
    <row r="201" spans="1:14" x14ac:dyDescent="0.25">
      <c r="A201" s="6" t="s">
        <v>1645</v>
      </c>
      <c r="B201" s="7" t="s">
        <v>1061</v>
      </c>
      <c r="C201" s="7" t="s">
        <v>1060</v>
      </c>
      <c r="D201" s="7"/>
      <c r="E201" s="8">
        <v>147</v>
      </c>
      <c r="F201" s="8">
        <v>160.5</v>
      </c>
      <c r="G201" s="8">
        <v>140.5</v>
      </c>
      <c r="H201" s="8">
        <v>158.6</v>
      </c>
      <c r="I201" s="8">
        <v>146.4</v>
      </c>
      <c r="J201" s="8">
        <v>169.9</v>
      </c>
      <c r="K201" s="8">
        <v>179.5</v>
      </c>
      <c r="L201" s="8">
        <v>174.1</v>
      </c>
      <c r="M201" s="8">
        <v>166.91489899696418</v>
      </c>
      <c r="N201" s="8">
        <v>185.18627987589574</v>
      </c>
    </row>
    <row r="202" spans="1:14" x14ac:dyDescent="0.25">
      <c r="A202" s="6" t="s">
        <v>1598</v>
      </c>
      <c r="B202" s="7" t="s">
        <v>1416</v>
      </c>
      <c r="C202" s="7" t="s">
        <v>1415</v>
      </c>
      <c r="D202" s="7"/>
      <c r="E202" s="8">
        <v>-15.4</v>
      </c>
      <c r="F202" s="8">
        <v>-2.8</v>
      </c>
      <c r="G202" s="8">
        <v>-1.2</v>
      </c>
      <c r="H202" s="8">
        <v>-0.3</v>
      </c>
      <c r="I202" s="8">
        <v>-3.6</v>
      </c>
      <c r="J202" s="8">
        <v>-1.3</v>
      </c>
      <c r="K202" s="8">
        <v>-3.1</v>
      </c>
      <c r="L202" s="8">
        <v>-237.5</v>
      </c>
      <c r="M202" s="8" t="s">
        <v>1483</v>
      </c>
      <c r="N202" s="8" t="s">
        <v>1483</v>
      </c>
    </row>
    <row r="203" spans="1:14" x14ac:dyDescent="0.25">
      <c r="A203" s="6" t="s">
        <v>1646</v>
      </c>
      <c r="B203" s="7" t="s">
        <v>1277</v>
      </c>
      <c r="C203" s="7" t="s">
        <v>1276</v>
      </c>
      <c r="D203" s="7"/>
      <c r="E203" s="8">
        <v>-1101.2</v>
      </c>
      <c r="F203" s="8">
        <v>-115.6</v>
      </c>
      <c r="G203" s="8">
        <v>-486.9</v>
      </c>
      <c r="H203" s="8">
        <v>-356.3</v>
      </c>
      <c r="I203" s="8">
        <v>-1584.5</v>
      </c>
      <c r="J203" s="8">
        <v>-711</v>
      </c>
      <c r="K203" s="8">
        <v>-983</v>
      </c>
      <c r="L203" s="8">
        <v>-956.8</v>
      </c>
      <c r="M203" s="8">
        <v>-691.49889240037965</v>
      </c>
      <c r="N203" s="8">
        <v>-893.95342566845807</v>
      </c>
    </row>
    <row r="204" spans="1:14" x14ac:dyDescent="0.25">
      <c r="A204" s="6"/>
      <c r="B204" s="7"/>
      <c r="C204" s="7"/>
      <c r="D204" s="7"/>
      <c r="E204" s="8"/>
      <c r="F204" s="8"/>
      <c r="G204" s="8"/>
      <c r="H204" s="8"/>
      <c r="I204" s="8"/>
      <c r="J204" s="8"/>
      <c r="K204" s="8"/>
      <c r="L204" s="8"/>
      <c r="M204" s="8"/>
      <c r="N204" s="8"/>
    </row>
    <row r="205" spans="1:14" x14ac:dyDescent="0.25">
      <c r="A205" s="6" t="s">
        <v>1617</v>
      </c>
      <c r="B205" s="7"/>
      <c r="C205" s="7"/>
      <c r="D205" s="7"/>
      <c r="E205" s="8"/>
      <c r="F205" s="8"/>
      <c r="G205" s="8"/>
      <c r="H205" s="8"/>
      <c r="I205" s="8"/>
      <c r="J205" s="8"/>
      <c r="K205" s="8"/>
      <c r="L205" s="8"/>
      <c r="M205" s="8"/>
      <c r="N205" s="8"/>
    </row>
    <row r="206" spans="1:14" x14ac:dyDescent="0.25">
      <c r="A206" s="6" t="s">
        <v>1647</v>
      </c>
      <c r="B206" s="7" t="s">
        <v>490</v>
      </c>
      <c r="C206" s="7" t="s">
        <v>491</v>
      </c>
      <c r="D206" s="7"/>
      <c r="E206" s="8">
        <v>-6.5</v>
      </c>
      <c r="F206" s="8">
        <v>-3</v>
      </c>
      <c r="G206" s="8">
        <v>-20.5</v>
      </c>
      <c r="H206" s="8">
        <v>13.9</v>
      </c>
      <c r="I206" s="8">
        <v>19.2</v>
      </c>
      <c r="J206" s="8">
        <v>16.8</v>
      </c>
      <c r="K206" s="8">
        <v>38.6</v>
      </c>
      <c r="L206" s="8">
        <v>-44.8</v>
      </c>
      <c r="M206" s="8">
        <v>0</v>
      </c>
      <c r="N206" s="8">
        <v>0</v>
      </c>
    </row>
    <row r="207" spans="1:14" x14ac:dyDescent="0.25">
      <c r="A207" s="6" t="s">
        <v>1648</v>
      </c>
      <c r="B207" s="7" t="s">
        <v>471</v>
      </c>
      <c r="C207" s="7" t="s">
        <v>472</v>
      </c>
      <c r="D207" s="7"/>
      <c r="E207" s="8">
        <v>-104.2</v>
      </c>
      <c r="F207" s="8">
        <v>468.5</v>
      </c>
      <c r="G207" s="8">
        <v>15.8</v>
      </c>
      <c r="H207" s="8">
        <v>-332.8</v>
      </c>
      <c r="I207" s="8">
        <v>-94.8</v>
      </c>
      <c r="J207" s="8">
        <v>375.4</v>
      </c>
      <c r="K207" s="8">
        <v>1910.8</v>
      </c>
      <c r="L207" s="8">
        <v>-119.3</v>
      </c>
      <c r="M207" s="8">
        <v>1030.6466611202441</v>
      </c>
      <c r="N207" s="8">
        <v>1054.9106126075778</v>
      </c>
    </row>
    <row r="208" spans="1:14" x14ac:dyDescent="0.25">
      <c r="A208" s="6" t="s">
        <v>1649</v>
      </c>
      <c r="B208" s="7" t="s">
        <v>475</v>
      </c>
      <c r="C208" s="7" t="s">
        <v>476</v>
      </c>
      <c r="D208" s="7"/>
      <c r="E208" s="8">
        <v>818.3</v>
      </c>
      <c r="F208" s="8">
        <v>715.9</v>
      </c>
      <c r="G208" s="8">
        <v>1184.4000000000001</v>
      </c>
      <c r="H208" s="8">
        <v>1200.2</v>
      </c>
      <c r="I208" s="8">
        <v>867.4</v>
      </c>
      <c r="J208" s="8">
        <v>772.6</v>
      </c>
      <c r="K208" s="8">
        <v>1148</v>
      </c>
      <c r="L208" s="8">
        <v>3058.8</v>
      </c>
      <c r="M208" s="8">
        <v>2653.4276996351482</v>
      </c>
      <c r="N208" s="8">
        <v>3618.7607759576163</v>
      </c>
    </row>
    <row r="209" spans="1:14" x14ac:dyDescent="0.25">
      <c r="A209" s="6" t="s">
        <v>1650</v>
      </c>
      <c r="B209" s="7" t="s">
        <v>262</v>
      </c>
      <c r="C209" s="7" t="s">
        <v>263</v>
      </c>
      <c r="D209" s="7"/>
      <c r="E209" s="8">
        <v>714.1</v>
      </c>
      <c r="F209" s="8">
        <v>1179.0999999999999</v>
      </c>
      <c r="G209" s="8">
        <v>1183.2</v>
      </c>
      <c r="H209" s="8">
        <v>862.8</v>
      </c>
      <c r="I209" s="8">
        <v>769</v>
      </c>
      <c r="J209" s="8">
        <v>1132.3</v>
      </c>
      <c r="K209" s="8">
        <v>3045.2</v>
      </c>
      <c r="L209" s="8">
        <v>2938</v>
      </c>
      <c r="M209" s="8">
        <v>3541.6948628815835</v>
      </c>
      <c r="N209" s="8">
        <v>4521.8273736051879</v>
      </c>
    </row>
    <row r="210" spans="1:14" x14ac:dyDescent="0.25">
      <c r="A210" s="6"/>
      <c r="B210" s="7"/>
      <c r="C210" s="7"/>
      <c r="D210" s="7"/>
      <c r="E210" s="8"/>
      <c r="F210" s="8"/>
      <c r="G210" s="8"/>
      <c r="H210" s="8"/>
      <c r="I210" s="8"/>
      <c r="J210" s="8"/>
      <c r="K210" s="8"/>
      <c r="L210" s="8"/>
      <c r="M210" s="8"/>
      <c r="N210" s="8"/>
    </row>
    <row r="211" spans="1:14" x14ac:dyDescent="0.25">
      <c r="A211" s="6" t="s">
        <v>1651</v>
      </c>
      <c r="B211" s="7" t="s">
        <v>495</v>
      </c>
      <c r="C211" s="7" t="s">
        <v>494</v>
      </c>
      <c r="D211" s="7"/>
      <c r="E211" s="8">
        <v>1.4767367750159337</v>
      </c>
      <c r="F211" s="8">
        <v>0.63108194622279135</v>
      </c>
      <c r="G211" s="8">
        <v>1.6929007388371344</v>
      </c>
      <c r="H211" s="8">
        <v>2.7789186587518051</v>
      </c>
      <c r="I211" s="8">
        <v>1.9680129240710824</v>
      </c>
      <c r="J211" s="8">
        <v>1.4765122795450798</v>
      </c>
      <c r="K211" s="8">
        <v>0.90731136021415415</v>
      </c>
      <c r="L211" s="8">
        <v>2.7277701778385777</v>
      </c>
      <c r="M211" s="8">
        <v>2.9645697071876729</v>
      </c>
      <c r="N211" s="8">
        <v>3.3205048211329182</v>
      </c>
    </row>
    <row r="212" spans="1:14" x14ac:dyDescent="0.25">
      <c r="A212" s="6" t="s">
        <v>1529</v>
      </c>
      <c r="B212" s="7" t="s">
        <v>59</v>
      </c>
      <c r="C212" s="7" t="s">
        <v>60</v>
      </c>
      <c r="D212" s="7"/>
      <c r="E212" s="8">
        <v>688.09999999999991</v>
      </c>
      <c r="F212" s="8">
        <v>928.50000000000011</v>
      </c>
      <c r="G212" s="8">
        <v>647</v>
      </c>
      <c r="H212" s="8">
        <v>1406.3</v>
      </c>
      <c r="I212" s="8">
        <v>973.6</v>
      </c>
      <c r="J212" s="8">
        <v>642.79999999999995</v>
      </c>
      <c r="K212" s="8">
        <v>289.89999999999998</v>
      </c>
      <c r="L212" s="8">
        <v>1335</v>
      </c>
      <c r="M212" s="8">
        <v>1487.9880195616986</v>
      </c>
      <c r="N212" s="8">
        <v>1653.7375860982311</v>
      </c>
    </row>
    <row r="213" spans="1:14" x14ac:dyDescent="0.25">
      <c r="A213" s="6" t="s">
        <v>1652</v>
      </c>
      <c r="B213" s="7" t="s">
        <v>487</v>
      </c>
      <c r="C213" s="7" t="s">
        <v>488</v>
      </c>
      <c r="D213" s="7"/>
      <c r="E213" s="8">
        <v>1.0738139825218476</v>
      </c>
      <c r="F213" s="8">
        <v>0.48610020417779182</v>
      </c>
      <c r="G213" s="8">
        <v>1.0238961861053963</v>
      </c>
      <c r="H213" s="8">
        <v>2.2279784537389098</v>
      </c>
      <c r="I213" s="8">
        <v>1.5597564883050303</v>
      </c>
      <c r="J213" s="8">
        <v>1.0548080078766</v>
      </c>
      <c r="K213" s="8">
        <v>0.48373101952277658</v>
      </c>
      <c r="L213" s="8">
        <v>2.2789347900307271</v>
      </c>
      <c r="M213" s="8">
        <v>2.3605981251113053</v>
      </c>
      <c r="N213" s="8">
        <v>2.7550081336555108</v>
      </c>
    </row>
    <row r="214" spans="1:14" x14ac:dyDescent="0.25">
      <c r="A214" s="6" t="s">
        <v>17</v>
      </c>
      <c r="B214" s="7"/>
      <c r="C214" s="7"/>
      <c r="D214" s="7"/>
      <c r="E214" s="8"/>
      <c r="F214" s="8"/>
      <c r="G214" s="8"/>
      <c r="H214" s="8"/>
      <c r="I214" s="8"/>
      <c r="J214" s="8"/>
      <c r="K214" s="8"/>
      <c r="L214" s="8"/>
      <c r="M214" s="8"/>
      <c r="N214" s="8"/>
    </row>
    <row r="215" spans="1:14" x14ac:dyDescent="0.25">
      <c r="A215" s="9" t="s">
        <v>492</v>
      </c>
      <c r="B215" s="9"/>
      <c r="C215" s="9"/>
      <c r="D215" s="9"/>
      <c r="E215" s="9"/>
      <c r="F215" s="9"/>
      <c r="G215" s="9"/>
      <c r="H215" s="9"/>
      <c r="I215" s="9"/>
      <c r="J215" s="9"/>
      <c r="K215" s="9"/>
      <c r="L215" s="9"/>
      <c r="M215" s="9"/>
      <c r="N215"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11689B2-F6F7-43BC-A41D-7986EBF72F6C}">
  <ds:schemaRefs/>
</ds:datastoreItem>
</file>

<file path=customXml/itemProps2.xml><?xml version="1.0" encoding="utf-8"?>
<ds:datastoreItem xmlns:ds="http://schemas.openxmlformats.org/officeDocument/2006/customXml" ds:itemID="{DB8C3E40-D09E-4538-862F-2546C74AAE7D}">
  <ds:schemaRefs/>
</ds:datastoreItem>
</file>

<file path=customXml/itemProps3.xml><?xml version="1.0" encoding="utf-8"?>
<ds:datastoreItem xmlns:ds="http://schemas.openxmlformats.org/officeDocument/2006/customXml" ds:itemID="{DCAC8F36-398A-405A-8AB1-8675AA5C56B8}">
  <ds:schemaRefs/>
</ds:datastoreItem>
</file>

<file path=customXml/itemProps4.xml><?xml version="1.0" encoding="utf-8"?>
<ds:datastoreItem xmlns:ds="http://schemas.openxmlformats.org/officeDocument/2006/customXml" ds:itemID="{6C37CF69-6DC3-426A-A0CD-AC23887AB751}">
  <ds:schemaRefs/>
</ds:datastoreItem>
</file>

<file path=customXml/itemProps5.xml><?xml version="1.0" encoding="utf-8"?>
<ds:datastoreItem xmlns:ds="http://schemas.openxmlformats.org/officeDocument/2006/customXml" ds:itemID="{DFA461BC-9779-4DF4-A78F-A43AC40EB8E2}">
  <ds:schemaRefs/>
</ds:datastoreItem>
</file>

<file path=customXml/itemProps6.xml><?xml version="1.0" encoding="utf-8"?>
<ds:datastoreItem xmlns:ds="http://schemas.openxmlformats.org/officeDocument/2006/customXml" ds:itemID="{274CBE7D-0085-4C8C-B899-4CDAA82BFCB8}">
  <ds:schemaRefs/>
</ds:datastoreItem>
</file>

<file path=customXml/itemProps7.xml><?xml version="1.0" encoding="utf-8"?>
<ds:datastoreItem xmlns:ds="http://schemas.openxmlformats.org/officeDocument/2006/customXml" ds:itemID="{B6D217AB-8E1C-4567-A5A8-DFC8E339D874}">
  <ds:schemaRefs/>
</ds:datastoreItem>
</file>

<file path=customXml/itemProps8.xml><?xml version="1.0" encoding="utf-8"?>
<ds:datastoreItem xmlns:ds="http://schemas.openxmlformats.org/officeDocument/2006/customXml" ds:itemID="{439B8772-67E6-4364-AE8B-9AC675D0CB53}">
  <ds:schemaRefs/>
</ds:datastoreItem>
</file>

<file path=customXml/itemProps9.xml><?xml version="1.0" encoding="utf-8"?>
<ds:datastoreItem xmlns:ds="http://schemas.openxmlformats.org/officeDocument/2006/customXml" ds:itemID="{75813715-530E-494F-AD4B-3CA53DBBCFBB}">
  <ds:schemaRefs/>
</ds:datastoreItem>
</file>

<file path=customXml/itemProps10.xml><?xml version="1.0" encoding="utf-8"?>
<ds:datastoreItem xmlns:ds="http://schemas.openxmlformats.org/officeDocument/2006/customXml" ds:itemID="{0EAD14C0-799E-450F-A4B0-190949A4392B}">
  <ds:schemaRefs/>
</ds:datastoreItem>
</file>

<file path=customXml/itemProps11.xml><?xml version="1.0" encoding="utf-8"?>
<ds:datastoreItem xmlns:ds="http://schemas.openxmlformats.org/officeDocument/2006/customXml" ds:itemID="{C6BF7B4D-85B5-4A44-BEC9-B63C5A67DF26}">
  <ds:schemaRefs/>
</ds:datastoreItem>
</file>

<file path=customXml/itemProps12.xml><?xml version="1.0" encoding="utf-8"?>
<ds:datastoreItem xmlns:ds="http://schemas.openxmlformats.org/officeDocument/2006/customXml" ds:itemID="{22C71BB2-6ACD-4B95-95A8-2B66389C0557}">
  <ds:schemaRefs/>
</ds:datastoreItem>
</file>

<file path=customXml/itemProps13.xml><?xml version="1.0" encoding="utf-8"?>
<ds:datastoreItem xmlns:ds="http://schemas.openxmlformats.org/officeDocument/2006/customXml" ds:itemID="{480182A9-5D7A-49EB-B1CA-F53A4209E541}">
  <ds:schemaRefs/>
</ds:datastoreItem>
</file>

<file path=customXml/itemProps14.xml><?xml version="1.0" encoding="utf-8"?>
<ds:datastoreItem xmlns:ds="http://schemas.openxmlformats.org/officeDocument/2006/customXml" ds:itemID="{5677C53D-56C1-4D36-A5EB-F8BFAB85F09F}">
  <ds:schemaRefs/>
</ds:datastoreItem>
</file>

<file path=customXml/itemProps15.xml><?xml version="1.0" encoding="utf-8"?>
<ds:datastoreItem xmlns:ds="http://schemas.openxmlformats.org/officeDocument/2006/customXml" ds:itemID="{F88484AB-EDE8-4C38-9756-174004BB7A5A}">
  <ds:schemaRefs/>
</ds:datastoreItem>
</file>

<file path=customXml/itemProps16.xml><?xml version="1.0" encoding="utf-8"?>
<ds:datastoreItem xmlns:ds="http://schemas.openxmlformats.org/officeDocument/2006/customXml" ds:itemID="{F746C366-D487-460B-80AC-B0CE704FD075}">
  <ds:schemaRefs/>
</ds:datastoreItem>
</file>

<file path=customXml/itemProps17.xml><?xml version="1.0" encoding="utf-8"?>
<ds:datastoreItem xmlns:ds="http://schemas.openxmlformats.org/officeDocument/2006/customXml" ds:itemID="{CEA2C21F-2178-42D5-B740-61349B9D6C30}">
  <ds:schemaRefs>
    <ds:schemaRef ds:uri="http://schemas.microsoft.com/DataMashup"/>
  </ds:schemaRefs>
</ds:datastoreItem>
</file>

<file path=customXml/itemProps18.xml><?xml version="1.0" encoding="utf-8"?>
<ds:datastoreItem xmlns:ds="http://schemas.openxmlformats.org/officeDocument/2006/customXml" ds:itemID="{AC235470-35A5-4AB6-AC1F-426921A56F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Cover Page</vt:lpstr>
      <vt:lpstr>DCF Dashboard</vt:lpstr>
      <vt:lpstr>DCF PivotTable</vt:lpstr>
      <vt:lpstr>Master Data</vt:lpstr>
      <vt:lpstr>Summary Statistics</vt:lpstr>
      <vt:lpstr>WACC Dashboard</vt:lpstr>
      <vt:lpstr>WACC PivotTable</vt:lpstr>
      <vt:lpstr>Beta Hand Calculations</vt:lpstr>
      <vt:lpstr>SYK</vt:lpstr>
      <vt:lpstr>BBG Adj Highlights</vt:lpstr>
      <vt:lpstr>BBG Adjusted</vt:lpstr>
      <vt:lpstr>BS</vt:lpstr>
      <vt:lpstr>CF</vt:lpstr>
      <vt:lpstr>Profitability</vt:lpstr>
      <vt:lpstr>Segments</vt:lpstr>
      <vt:lpstr>JNJ</vt:lpstr>
      <vt:lpstr>ABBOTT</vt:lpstr>
      <vt:lpstr>BSX</vt:lpstr>
      <vt:lpstr>EDW</vt:lpstr>
      <vt:lpstr>'Summary Statistics'!Criteria</vt:lpstr>
      <vt:lpstr>'Summary Statistics'!Extract</vt:lpstr>
      <vt:lpstr>ProjFCFs</vt: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Harris Waseem</cp:lastModifiedBy>
  <dcterms:created xsi:type="dcterms:W3CDTF">2013-04-03T15:49:21Z</dcterms:created>
  <dcterms:modified xsi:type="dcterms:W3CDTF">2026-05-18T19:07:31Z</dcterms:modified>
</cp:coreProperties>
</file>